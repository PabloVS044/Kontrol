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avi\Downloads\"/>
    </mc:Choice>
  </mc:AlternateContent>
  <xr:revisionPtr revIDLastSave="0" documentId="13_ncr:1_{5E955892-00FD-4D26-8B81-92E47B4FDF4F}" xr6:coauthVersionLast="47" xr6:coauthVersionMax="47" xr10:uidLastSave="{00000000-0000-0000-0000-000000000000}"/>
  <bookViews>
    <workbookView xWindow="-90" yWindow="0" windowWidth="12980" windowHeight="16090" activeTab="1" xr2:uid="{00000000-000D-0000-FFFF-FFFF00000000}"/>
  </bookViews>
  <sheets>
    <sheet name="Resumen" sheetId="1" r:id="rId1"/>
    <sheet name="Registros" sheetId="2" r:id="rId2"/>
    <sheet name="Evidencia" sheetId="3" r:id="rId3"/>
    <sheet name="Hallazg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F19" i="2"/>
  <c r="G22" i="1" s="1"/>
  <c r="F18" i="2"/>
  <c r="F17" i="2"/>
  <c r="G17" i="2" s="1"/>
  <c r="F16" i="2"/>
  <c r="H7" i="3"/>
  <c r="H8" i="3"/>
  <c r="F15" i="2"/>
  <c r="F14" i="2"/>
  <c r="F13" i="2"/>
  <c r="F12" i="2"/>
  <c r="F11" i="2"/>
  <c r="F10" i="2"/>
  <c r="F9" i="2"/>
  <c r="F7" i="2"/>
  <c r="F8" i="2"/>
  <c r="F6" i="2"/>
  <c r="G19" i="1" s="1"/>
  <c r="H6" i="3"/>
  <c r="G20" i="2"/>
  <c r="G18" i="2"/>
  <c r="G16" i="2"/>
  <c r="G15" i="2"/>
  <c r="G14" i="2"/>
  <c r="G13" i="2"/>
  <c r="G12" i="2"/>
  <c r="G11" i="2"/>
  <c r="G10" i="2"/>
  <c r="G9" i="2"/>
  <c r="G8" i="2"/>
  <c r="G7" i="2"/>
  <c r="G23" i="1"/>
  <c r="E23" i="1"/>
  <c r="D23" i="1"/>
  <c r="C23" i="1"/>
  <c r="F23" i="1" s="1"/>
  <c r="D22" i="1"/>
  <c r="C22" i="1"/>
  <c r="F22" i="1" s="1"/>
  <c r="G21" i="1"/>
  <c r="E21" i="1"/>
  <c r="D21" i="1"/>
  <c r="C21" i="1"/>
  <c r="F21" i="1" s="1"/>
  <c r="E20" i="1"/>
  <c r="D20" i="1"/>
  <c r="C20" i="1"/>
  <c r="F20" i="1" s="1"/>
  <c r="D19" i="1"/>
  <c r="C19" i="1"/>
  <c r="F19" i="1" s="1"/>
  <c r="B13" i="1"/>
  <c r="B12" i="1"/>
  <c r="B9" i="1"/>
  <c r="E22" i="1" l="1"/>
  <c r="G19" i="2"/>
  <c r="G20" i="1"/>
  <c r="B10" i="1"/>
  <c r="G6" i="2"/>
  <c r="E19" i="1"/>
  <c r="B14" i="1"/>
  <c r="B11" i="1"/>
  <c r="B6" i="1" l="1"/>
</calcChain>
</file>

<file path=xl/sharedStrings.xml><?xml version="1.0" encoding="utf-8"?>
<sst xmlns="http://schemas.openxmlformats.org/spreadsheetml/2006/main" count="284" uniqueCount="159">
  <si>
    <t>Resumen de aceptación del estudio</t>
  </si>
  <si>
    <t>El estudio se cierra solo cuando las cinco condiciones obligatorias están completas.</t>
  </si>
  <si>
    <t>Estado general</t>
  </si>
  <si>
    <t>Estado</t>
  </si>
  <si>
    <t>Requisito</t>
  </si>
  <si>
    <t>Actual</t>
  </si>
  <si>
    <t>Meta</t>
  </si>
  <si>
    <t>Resultados registrados</t>
  </si>
  <si>
    <t>Tiempos registrados</t>
  </si>
  <si>
    <t>Comentarios textuales</t>
  </si>
  <si>
    <t>Consentimientos firmados</t>
  </si>
  <si>
    <t>Fotografías válidas</t>
  </si>
  <si>
    <t>Sesiones completas</t>
  </si>
  <si>
    <t>Resultados por tarea</t>
  </si>
  <si>
    <t>Tarea</t>
  </si>
  <si>
    <t>Límite (seg)</t>
  </si>
  <si>
    <t>Éxitos</t>
  </si>
  <si>
    <t>Fallos</t>
  </si>
  <si>
    <t>Tiempo medio</t>
  </si>
  <si>
    <t>Tasa de éxito</t>
  </si>
  <si>
    <t>Dentro del límite</t>
  </si>
  <si>
    <t>F1</t>
  </si>
  <si>
    <t>F2</t>
  </si>
  <si>
    <t>F3</t>
  </si>
  <si>
    <t>F4</t>
  </si>
  <si>
    <t>F5</t>
  </si>
  <si>
    <t>Control final</t>
  </si>
  <si>
    <t>Paso</t>
  </si>
  <si>
    <t>Responsable</t>
  </si>
  <si>
    <t>Revisar las 15 filas y resolver vacíos</t>
  </si>
  <si>
    <t>Juan</t>
  </si>
  <si>
    <t>Validar firmas y fotografías</t>
  </si>
  <si>
    <t>Alejandra</t>
  </si>
  <si>
    <t>Entregar el archivo único para análisis</t>
  </si>
  <si>
    <t>Alejandra y Juan</t>
  </si>
  <si>
    <t>Registro de sesiones de usabilidad de Fase 2</t>
  </si>
  <si>
    <t>Campos amarillos: captura del anotador. Registra el tiempo incluso cuando falle y conserva las palabras exactas del participante.</t>
  </si>
  <si>
    <t>ID</t>
  </si>
  <si>
    <t>Participante</t>
  </si>
  <si>
    <t>Flujo</t>
  </si>
  <si>
    <t>Tiempo (seg)</t>
  </si>
  <si>
    <t>Tiempo</t>
  </si>
  <si>
    <t>Resultado</t>
  </si>
  <si>
    <t>Motivo de fallo</t>
  </si>
  <si>
    <t>Punto de fricción observable</t>
  </si>
  <si>
    <t>Comentario textual</t>
  </si>
  <si>
    <t>Ayuda o intervención</t>
  </si>
  <si>
    <t>Incidencia del ambiente</t>
  </si>
  <si>
    <t>Notas del anotador</t>
  </si>
  <si>
    <t>P01-F1</t>
  </si>
  <si>
    <t>P01</t>
  </si>
  <si>
    <t>Alta de producto</t>
  </si>
  <si>
    <t>P01-F2</t>
  </si>
  <si>
    <t>Vincular proveedor</t>
  </si>
  <si>
    <t>P01-F3</t>
  </si>
  <si>
    <t>Registrar venta</t>
  </si>
  <si>
    <t>P01-F4</t>
  </si>
  <si>
    <t>Crear y programar publicación</t>
  </si>
  <si>
    <t>P01-F5</t>
  </si>
  <si>
    <t>Filtrar publicaciones por estado</t>
  </si>
  <si>
    <t>P02-F1</t>
  </si>
  <si>
    <t>P02</t>
  </si>
  <si>
    <t>P02-F2</t>
  </si>
  <si>
    <t>P02-F3</t>
  </si>
  <si>
    <t>P02-F4</t>
  </si>
  <si>
    <t>P02-F5</t>
  </si>
  <si>
    <t>P03-F1</t>
  </si>
  <si>
    <t>P03</t>
  </si>
  <si>
    <t>P03-F2</t>
  </si>
  <si>
    <t>P03-F3</t>
  </si>
  <si>
    <t>P03-F4</t>
  </si>
  <si>
    <t>P03-F5</t>
  </si>
  <si>
    <t>Evidencia y privacidad</t>
  </si>
  <si>
    <t>Usa solo identificadores P01–P03. Conserva los consentimientos firmados separados de las notas y fotos.</t>
  </si>
  <si>
    <t>Perfil confirmado</t>
  </si>
  <si>
    <t>Consentimiento firmado</t>
  </si>
  <si>
    <t>Foto válida sin rostro</t>
  </si>
  <si>
    <t>Archivo de consentimiento</t>
  </si>
  <si>
    <t>Archivo de fotografía</t>
  </si>
  <si>
    <t>Observación de privacidad</t>
  </si>
  <si>
    <t>Estado de sesión</t>
  </si>
  <si>
    <t>P01_consentimiento.pdf</t>
  </si>
  <si>
    <t>P01_evidencia_01.jpg</t>
  </si>
  <si>
    <t>P02_consentimiento.pdf</t>
  </si>
  <si>
    <t>P02_evidencia_01.jpg</t>
  </si>
  <si>
    <t>P03_consentimiento.pdf</t>
  </si>
  <si>
    <t>P03_evidencia_01.jpg</t>
  </si>
  <si>
    <t>Checklist de fotografía</t>
  </si>
  <si>
    <t>Control</t>
  </si>
  <si>
    <t>Verificación</t>
  </si>
  <si>
    <t>Rostro fuera del encuadre</t>
  </si>
  <si>
    <t>Correo y contraseña no visibles</t>
  </si>
  <si>
    <t>Sin otras aplicaciones o mensajes</t>
  </si>
  <si>
    <t>Nombre de archivo correcto</t>
  </si>
  <si>
    <t>Autorización confirmada al finalizar</t>
  </si>
  <si>
    <t>Plantilla de hallazgos de usabilidad</t>
  </si>
  <si>
    <t>Consolida patrones después de completar las tres sesiones. Cita IDs de registro como P01-F2; no inventes frecuencia.</t>
  </si>
  <si>
    <t>Punto de fricción</t>
  </si>
  <si>
    <t>Evidencia e IDs</t>
  </si>
  <si>
    <t>Frecuencia</t>
  </si>
  <si>
    <t>Impacto</t>
  </si>
  <si>
    <t>Severidad</t>
  </si>
  <si>
    <t>Recomendación</t>
  </si>
  <si>
    <t>H-01</t>
  </si>
  <si>
    <t>H-02</t>
  </si>
  <si>
    <t>H-03</t>
  </si>
  <si>
    <t>H-04</t>
  </si>
  <si>
    <t>H-05</t>
  </si>
  <si>
    <t>H-06</t>
  </si>
  <si>
    <t>H-07</t>
  </si>
  <si>
    <t>H-08</t>
  </si>
  <si>
    <t>H-09</t>
  </si>
  <si>
    <t>H-10</t>
  </si>
  <si>
    <t>Sí</t>
  </si>
  <si>
    <t>Éxito</t>
  </si>
  <si>
    <t>No aplica</t>
  </si>
  <si>
    <t>Oprimió "cancelar" en lugar de guardar y tuvo que repetir el proceso.</t>
  </si>
  <si>
    <t>Ninguna</t>
  </si>
  <si>
    <t>El tiempo estuvo algo justo par apoder añadir el producto por repetir el proceso.</t>
  </si>
  <si>
    <t>Se le hizo fácil añadir el proveedor.</t>
  </si>
  <si>
    <t>Ligero problema por contraste de texto respecto al fondo.</t>
  </si>
  <si>
    <t>Al elegir el proyecto y formato de publicación no se leían los textos sin tener que poner el cursor encima de las opciones.</t>
  </si>
  <si>
    <t>"Para filtrar, ¿cómo lo hago?"</t>
  </si>
  <si>
    <t>"Al darle programar a la publicación, le cambió la hora a las 4:00 am, y sí había escrito bien la hora, pero al guardar el borrador lo cambió el sistema."</t>
  </si>
  <si>
    <t>Dudó al momento de poder dejar programada la publicación.</t>
  </si>
  <si>
    <t>"Pensé que le había dado en guardar, pero no pude ver bien, así que parece que lo eliminé."</t>
  </si>
  <si>
    <t>Efectivamente, al un problema con las publicaciones de marketing, cambia la hora en la que se programa.</t>
  </si>
  <si>
    <t>"Que confuso poder localizar dónde añadir el proveedor."</t>
  </si>
  <si>
    <t>"No lograba encontrar dónde vender el producto, pero toda ves lo encontré, fue fácil llenar lo solicitado."</t>
  </si>
  <si>
    <t>No le fue muy intuitivo el añadir el producto porque esperaba que hubiera un botón de acceso directo en la pantalla principal.</t>
  </si>
  <si>
    <t>Fallo</t>
  </si>
  <si>
    <t>Por tiempo</t>
  </si>
  <si>
    <t>"Me confunde la interfaz porque no está a la mano como imaginé cada botón/acción/encabezado."</t>
  </si>
  <si>
    <t>Ubicar dónde se puede añadir productos</t>
  </si>
  <si>
    <t xml:space="preserve">Confundir añadir proyecto con añadir venta, pensó que para crear la venta debía estar la función dentro de la tarjeta del producto. </t>
  </si>
  <si>
    <t>"Cuándo dicen en Stock, ¿a qué se refieren? No encuentró fácilmente si realicé la venta, deberían poner una notificación push/rápida para confirmarlo"</t>
  </si>
  <si>
    <t>Navegó en otras pestañas antes de póner encontrar dónde era. No lograba terminar de entender el proceso de vender el producto.</t>
  </si>
  <si>
    <t>"Me gustaría o sería mejor que pudiera ver las opciones sin tener que mover el mouse sobre las posibles opciones buscando."</t>
  </si>
  <si>
    <t>Le constó un poco asimilar que en la tarjeta del producto se añade el proveedor.</t>
  </si>
  <si>
    <t>"Estaría mejor si pudiera pensar o encontrar intuitivamente que ahí mismo está para vincular el proveedor, no pensé que estaría ahí."</t>
  </si>
  <si>
    <t>Le costó un poco asimilar que en la tarjeta del producto estuviera la vinculación con el proveedor.</t>
  </si>
  <si>
    <t>Le resultó mucho más fácil redactar la publicación, aunque sigue el problema de la visualización de ciertos apartados. Tiempo justo al poder dejarla programada.</t>
  </si>
  <si>
    <t>"Me costó un poco ver dónde estaba lo necesario para filtrar, pero una vez encontrado, me fue muy fácil."</t>
  </si>
  <si>
    <t>Sin rostro, únicamente la fotografía y el audio para transcribir las notas necesarias para el estudio.</t>
  </si>
  <si>
    <t>"¿En inventario? A saber, ¿una nueva tarea?"</t>
  </si>
  <si>
    <t>Hubo un poco de confusión al encontrar dónde añadir el producto, pero luego de navegar un poco, lo encontró.</t>
  </si>
  <si>
    <t>"Sí puedo validar el proveedor vinculado."</t>
  </si>
  <si>
    <t>Hubo complicación al vincular el proveedor porque pensó que al oprimir el botón, cambiaría la vista/saldría una ventana para hacerlo. Luego de llenar los datos, pudo terminar satisfactoriamente.</t>
  </si>
  <si>
    <t>Encontrar dónde ingresar para registrar la venta.</t>
  </si>
  <si>
    <t>Buscaba algún espacio de "ventas" o similares</t>
  </si>
  <si>
    <t>"¿Dónde puedo hacerlo...? ¿Habrá una ventana de ventas exclusivamente?, ah es en inventario también."</t>
  </si>
  <si>
    <t>Hubo un poco de confusión al crear una publicación nueva, y programó la que ya estaba de borrador en el entorno de prueba.</t>
  </si>
  <si>
    <t>"Ya lo hice, la que estaba ahí la programé. Ah, ¿Debía ser una nueva? ¿Dónde le doy?"</t>
  </si>
  <si>
    <t>"Aquí puedo ver filtrada la que acabo de crear."</t>
  </si>
  <si>
    <t>No tuvo problemas al culminar la tarea.</t>
  </si>
  <si>
    <t>Completo</t>
  </si>
  <si>
    <t>No identificó inmediatamente el control para filtrar por estado</t>
  </si>
  <si>
    <t>Tardó en localizar el filtro; después lo utilizó sin dificultad</t>
  </si>
  <si>
    <t>Pensó que aparecería otra vista para vincular el proveedor.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</si>
</sst>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7">
    <font>
      <sz val="11"/>
      <name val="Carlito"/>
    </font>
    <font>
      <sz val="10"/>
      <color rgb="FF1F2937"/>
      <name val="Arial"/>
    </font>
    <font>
      <b/>
      <sz val="16"/>
      <color rgb="FF000000"/>
      <name val="Arial"/>
    </font>
    <font>
      <i/>
      <sz val="9"/>
      <color rgb="FF667085"/>
      <name val="Arial"/>
    </font>
    <font>
      <b/>
      <sz val="10"/>
      <color rgb="FFFFFFFF"/>
      <name val="Arial"/>
    </font>
    <font>
      <b/>
      <sz val="11"/>
      <color rgb="FF000000"/>
      <name val="Arial"/>
    </font>
    <font>
      <b/>
      <sz val="14"/>
      <color rgb="FFA61B1B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CE8E6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" fontId="1" fillId="0" borderId="2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1" fontId="1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9" fontId="1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</cellXfs>
  <cellStyles count="1">
    <cellStyle name="Normal" xfId="0" builtinId="0"/>
  </cellStyles>
  <dxfs count="6">
    <dxf>
      <font>
        <b/>
        <color rgb="FFA61B1B"/>
      </font>
      <fill>
        <patternFill patternType="solid">
          <bgColor rgb="FFFCE8E6"/>
        </patternFill>
      </fill>
    </dxf>
    <dxf>
      <font>
        <b/>
        <color rgb="FF35682D"/>
      </font>
      <fill>
        <patternFill patternType="solid">
          <bgColor rgb="FFE2F0D9"/>
        </patternFill>
      </fill>
    </dxf>
    <dxf>
      <font>
        <b/>
        <color rgb="FFA61B1B"/>
      </font>
      <fill>
        <patternFill patternType="solid">
          <bgColor rgb="FFFCE8E6"/>
        </patternFill>
      </fill>
    </dxf>
    <dxf>
      <font>
        <b/>
        <color rgb="FF35682D"/>
      </font>
      <fill>
        <patternFill patternType="solid">
          <bgColor rgb="FFE2F0D9"/>
        </patternFill>
      </fill>
    </dxf>
    <dxf>
      <font>
        <b/>
        <color rgb="FF35682D"/>
      </font>
      <fill>
        <patternFill patternType="solid">
          <bgColor rgb="FFE2F0D9"/>
        </patternFill>
      </fill>
    </dxf>
    <dxf>
      <font>
        <b/>
        <color rgb="FFA61B1B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Z100"/>
  <sheetViews>
    <sheetView showGridLines="0" workbookViewId="0">
      <pane ySplit="5" topLeftCell="A18" activePane="bottomLeft" state="frozen"/>
      <selection pane="bottomLeft" activeCell="C30" sqref="C30:G30"/>
    </sheetView>
  </sheetViews>
  <sheetFormatPr baseColWidth="10" defaultColWidth="8.6640625" defaultRowHeight="14"/>
  <cols>
    <col min="1" max="1" width="31" customWidth="1"/>
    <col min="2" max="2" width="15" customWidth="1"/>
    <col min="3" max="6" width="14" customWidth="1"/>
    <col min="7" max="7" width="17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" customHeight="1">
      <c r="A2" s="13" t="s">
        <v>0</v>
      </c>
      <c r="B2" s="14"/>
      <c r="C2" s="14"/>
      <c r="D2" s="14"/>
      <c r="E2" s="14"/>
      <c r="F2" s="14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 t="s">
        <v>1</v>
      </c>
      <c r="B3" s="14"/>
      <c r="C3" s="14"/>
      <c r="D3" s="14"/>
      <c r="E3" s="14"/>
      <c r="F3" s="14"/>
      <c r="G3" s="1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" customHeight="1">
      <c r="A5" s="16" t="s">
        <v>2</v>
      </c>
      <c r="B5" s="14"/>
      <c r="C5" s="14"/>
      <c r="D5" s="14"/>
      <c r="E5" s="14"/>
      <c r="F5" s="14"/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>
      <c r="A6" s="11" t="s">
        <v>3</v>
      </c>
      <c r="B6" s="19" t="str">
        <f>IF(AND(B9=15,B10=15,B11=15,B12=3,B13=3,B14=3),"LISTO PARA CERRAR","PENDIENTE")</f>
        <v>LISTO PARA CERRAR</v>
      </c>
      <c r="C6" s="20"/>
      <c r="D6" s="2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" customHeight="1">
      <c r="A8" s="2" t="s">
        <v>4</v>
      </c>
      <c r="B8" s="2" t="s">
        <v>5</v>
      </c>
      <c r="C8" s="2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7</v>
      </c>
      <c r="B9" s="3">
        <f>COUNTIF(Registros!$H$6:$H$20,"Éxito")+COUNTIF(Registros!$H$6:$H$20,"Fallo")</f>
        <v>15</v>
      </c>
      <c r="C9" s="3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8</v>
      </c>
      <c r="B10" s="3">
        <f>COUNT(Registros!$F$6:$F$20)</f>
        <v>15</v>
      </c>
      <c r="C10" s="3">
        <v>15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9</v>
      </c>
      <c r="B11" s="3">
        <f>COUNTIF(Registros!$K$6:$K$20,"?*")</f>
        <v>15</v>
      </c>
      <c r="C11" s="3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10</v>
      </c>
      <c r="B12" s="3">
        <f>COUNTIF(Evidencia!$C$6:$C$8,"Sí")</f>
        <v>3</v>
      </c>
      <c r="C12" s="3">
        <v>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11</v>
      </c>
      <c r="B13" s="3">
        <f>COUNTIF(Evidencia!$D$6:$D$8,"Sí")</f>
        <v>3</v>
      </c>
      <c r="C13" s="3">
        <v>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12</v>
      </c>
      <c r="B14" s="3">
        <f>COUNTIF(Evidencia!$H$6:$H$8,"Completa")</f>
        <v>3</v>
      </c>
      <c r="C14" s="3">
        <v>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" customHeight="1">
      <c r="A17" s="16" t="s">
        <v>13</v>
      </c>
      <c r="B17" s="14"/>
      <c r="C17" s="14"/>
      <c r="D17" s="14"/>
      <c r="E17" s="14"/>
      <c r="F17" s="14"/>
      <c r="G17" s="1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" customHeight="1">
      <c r="A18" s="2" t="s">
        <v>14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 t="s">
        <v>21</v>
      </c>
      <c r="B19" s="3">
        <v>180</v>
      </c>
      <c r="C19" s="3">
        <f>COUNTIFS(Registros!$C$6:$C$20,A19,Registros!$H$6:$H$20,"Éxito")</f>
        <v>3</v>
      </c>
      <c r="D19" s="3">
        <f>COUNTIFS(Registros!$C$6:$C$20,A19,Registros!$H$6:$H$20,"Fallo")</f>
        <v>0</v>
      </c>
      <c r="E19" s="4">
        <f>IFERROR(AVERAGEIF(Registros!$C$6:$C$20,A19,Registros!$F$6:$F$20)/86400,"")</f>
        <v>1.5046296296296296E-3</v>
      </c>
      <c r="F19" s="12">
        <f>C19/3</f>
        <v>1</v>
      </c>
      <c r="G19" s="3">
        <f>COUNTIFS(Registros!$C$6:$C$20,A19,Registros!$F$6:$F$20,"&gt;0",Registros!$F$6:$F$20,"&lt;="&amp;B19)</f>
        <v>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 t="s">
        <v>22</v>
      </c>
      <c r="B20" s="3">
        <v>120</v>
      </c>
      <c r="C20" s="3">
        <f>COUNTIFS(Registros!$C$6:$C$20,A20,Registros!$H$6:$H$20,"Éxito")</f>
        <v>3</v>
      </c>
      <c r="D20" s="3">
        <f>COUNTIFS(Registros!$C$6:$C$20,A20,Registros!$H$6:$H$20,"Fallo")</f>
        <v>0</v>
      </c>
      <c r="E20" s="4">
        <f>IFERROR(AVERAGEIF(Registros!$C$6:$C$20,A20,Registros!$F$6:$F$20)/86400,"")</f>
        <v>7.4845679012345689E-4</v>
      </c>
      <c r="F20" s="12">
        <f>C20/3</f>
        <v>1</v>
      </c>
      <c r="G20" s="3">
        <f>COUNTIFS(Registros!$C$6:$C$20,A20,Registros!$F$6:$F$20,"&gt;0",Registros!$F$6:$F$20,"&lt;="&amp;B20)</f>
        <v>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 t="s">
        <v>23</v>
      </c>
      <c r="B21" s="3">
        <v>180</v>
      </c>
      <c r="C21" s="3">
        <f>COUNTIFS(Registros!$C$6:$C$20,A21,Registros!$H$6:$H$20,"Éxito")</f>
        <v>2</v>
      </c>
      <c r="D21" s="3">
        <f>COUNTIFS(Registros!$C$6:$C$20,A21,Registros!$H$6:$H$20,"Fallo")</f>
        <v>1</v>
      </c>
      <c r="E21" s="4">
        <f>IFERROR(AVERAGEIF(Registros!$C$6:$C$20,A21,Registros!$F$6:$F$20)/86400,"")</f>
        <v>1.6165123456790122E-3</v>
      </c>
      <c r="F21" s="12">
        <f>C21/3</f>
        <v>0.66666666666666663</v>
      </c>
      <c r="G21" s="3">
        <f>COUNTIFS(Registros!$C$6:$C$20,A21,Registros!$F$6:$F$20,"&gt;0",Registros!$F$6:$F$20,"&lt;="&amp;B21)</f>
        <v>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 t="s">
        <v>24</v>
      </c>
      <c r="B22" s="3">
        <v>180</v>
      </c>
      <c r="C22" s="3">
        <f>COUNTIFS(Registros!$C$6:$C$20,A22,Registros!$H$6:$H$20,"Éxito")</f>
        <v>3</v>
      </c>
      <c r="D22" s="3">
        <f>COUNTIFS(Registros!$C$6:$C$20,A22,Registros!$H$6:$H$20,"Fallo")</f>
        <v>0</v>
      </c>
      <c r="E22" s="4">
        <f>IFERROR(AVERAGEIF(Registros!$C$6:$C$20,A22,Registros!$F$6:$F$20)/86400,"")</f>
        <v>1.8595679012345678E-3</v>
      </c>
      <c r="F22" s="12">
        <f>C22/3</f>
        <v>1</v>
      </c>
      <c r="G22" s="3">
        <f>COUNTIFS(Registros!$C$6:$C$20,A22,Registros!$F$6:$F$20,"&gt;0",Registros!$F$6:$F$20,"&lt;="&amp;B22)</f>
        <v>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 t="s">
        <v>25</v>
      </c>
      <c r="B23" s="3">
        <v>120</v>
      </c>
      <c r="C23" s="3">
        <f>COUNTIFS(Registros!$C$6:$C$20,A23,Registros!$H$6:$H$20,"Éxito")</f>
        <v>3</v>
      </c>
      <c r="D23" s="3">
        <f>COUNTIFS(Registros!$C$6:$C$20,A23,Registros!$H$6:$H$20,"Fallo")</f>
        <v>0</v>
      </c>
      <c r="E23" s="4">
        <f>IFERROR(AVERAGEIF(Registros!$C$6:$C$20,A23,Registros!$F$6:$F$20)/86400,"")</f>
        <v>4.2438271604938271E-4</v>
      </c>
      <c r="F23" s="12">
        <f>C23/3</f>
        <v>1</v>
      </c>
      <c r="G23" s="3">
        <f>COUNTIFS(Registros!$C$6:$C$20,A23,Registros!$F$6:$F$20,"&gt;0",Registros!$F$6:$F$20,"&lt;="&amp;B23)</f>
        <v>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" customHeight="1">
      <c r="A26" s="16" t="s">
        <v>26</v>
      </c>
      <c r="B26" s="14"/>
      <c r="C26" s="14"/>
      <c r="D26" s="14"/>
      <c r="E26" s="14"/>
      <c r="F26" s="14"/>
      <c r="G26" s="1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" customHeight="1">
      <c r="A27" s="2" t="s">
        <v>27</v>
      </c>
      <c r="B27" s="2" t="s">
        <v>28</v>
      </c>
      <c r="C27" s="2" t="s">
        <v>3</v>
      </c>
      <c r="D27" s="2"/>
      <c r="E27" s="2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" customHeight="1">
      <c r="A28" s="3" t="s">
        <v>29</v>
      </c>
      <c r="B28" s="3" t="s">
        <v>30</v>
      </c>
      <c r="C28" s="17"/>
      <c r="D28" s="18"/>
      <c r="E28" s="18"/>
      <c r="F28" s="18"/>
      <c r="G28" s="1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8" customHeight="1">
      <c r="A29" s="3" t="s">
        <v>31</v>
      </c>
      <c r="B29" s="3" t="s">
        <v>32</v>
      </c>
      <c r="C29" s="17" t="s">
        <v>155</v>
      </c>
      <c r="D29" s="18"/>
      <c r="E29" s="18"/>
      <c r="F29" s="18"/>
      <c r="G29" s="1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" customHeight="1">
      <c r="A30" s="3" t="s">
        <v>33</v>
      </c>
      <c r="B30" s="3" t="s">
        <v>34</v>
      </c>
      <c r="C30" s="17"/>
      <c r="D30" s="18"/>
      <c r="E30" s="18"/>
      <c r="F30" s="18"/>
      <c r="G30" s="1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9">
    <mergeCell ref="A26:G26"/>
    <mergeCell ref="C28:G28"/>
    <mergeCell ref="C29:G29"/>
    <mergeCell ref="C30:G30"/>
    <mergeCell ref="A2:G2"/>
    <mergeCell ref="A3:G3"/>
    <mergeCell ref="A5:G5"/>
    <mergeCell ref="B6:D6"/>
    <mergeCell ref="A17:G17"/>
  </mergeCells>
  <conditionalFormatting sqref="B9:B14">
    <cfRule type="cellIs" dxfId="5" priority="2" operator="lessThan">
      <formula>C9</formula>
    </cfRule>
  </conditionalFormatting>
  <conditionalFormatting sqref="B6:D6">
    <cfRule type="containsText" dxfId="4" priority="1" operator="containsText" text="LISTO"/>
  </conditionalFormatting>
  <dataValidations count="1">
    <dataValidation type="list" sqref="C28:C30" xr:uid="{00000000-0002-0000-0000-000000000000}">
      <formula1>"Pendiente,Completo"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Z100"/>
  <sheetViews>
    <sheetView showGridLines="0" tabSelected="1" zoomScale="70" zoomScaleNormal="70" workbookViewId="0">
      <pane xSplit="3" ySplit="5" topLeftCell="D7" activePane="bottomRight" state="frozen"/>
      <selection pane="topRight"/>
      <selection pane="bottomLeft"/>
      <selection pane="bottomRight" activeCell="J17" sqref="J17"/>
    </sheetView>
  </sheetViews>
  <sheetFormatPr baseColWidth="10" defaultColWidth="8.6640625" defaultRowHeight="14"/>
  <cols>
    <col min="1" max="1" width="13" customWidth="1"/>
    <col min="2" max="2" width="12" customWidth="1"/>
    <col min="3" max="3" width="8" customWidth="1"/>
    <col min="4" max="4" width="26" customWidth="1"/>
    <col min="5" max="5" width="11" customWidth="1"/>
    <col min="6" max="6" width="12" customWidth="1"/>
    <col min="7" max="7" width="10" customWidth="1"/>
    <col min="8" max="8" width="12" customWidth="1"/>
    <col min="9" max="9" width="16" customWidth="1"/>
    <col min="10" max="10" width="29" customWidth="1"/>
    <col min="11" max="11" width="31" customWidth="1"/>
    <col min="12" max="12" width="24" customWidth="1"/>
    <col min="13" max="13" width="23" customWidth="1"/>
    <col min="14" max="14" width="27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" customHeight="1">
      <c r="A2" s="13" t="s">
        <v>35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 t="s">
        <v>36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" customHeight="1">
      <c r="A5" s="2" t="s">
        <v>37</v>
      </c>
      <c r="B5" s="2" t="s">
        <v>38</v>
      </c>
      <c r="C5" s="2" t="s">
        <v>14</v>
      </c>
      <c r="D5" s="2" t="s">
        <v>39</v>
      </c>
      <c r="E5" s="2" t="s">
        <v>15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5" t="s">
        <v>49</v>
      </c>
      <c r="B6" s="5" t="s">
        <v>50</v>
      </c>
      <c r="C6" s="5" t="s">
        <v>21</v>
      </c>
      <c r="D6" s="5" t="s">
        <v>51</v>
      </c>
      <c r="E6" s="6">
        <v>180</v>
      </c>
      <c r="F6" s="8">
        <f>180-22</f>
        <v>158</v>
      </c>
      <c r="G6" s="7">
        <f t="shared" ref="G6:G20" si="0">IF(F6="","",F6/86400)</f>
        <v>1.8287037037037037E-3</v>
      </c>
      <c r="H6" s="9" t="s">
        <v>114</v>
      </c>
      <c r="I6" s="9" t="s">
        <v>115</v>
      </c>
      <c r="J6" s="9" t="s">
        <v>116</v>
      </c>
      <c r="K6" s="9" t="s">
        <v>125</v>
      </c>
      <c r="L6" s="9" t="s">
        <v>117</v>
      </c>
      <c r="M6" s="9" t="s">
        <v>117</v>
      </c>
      <c r="N6" s="9" t="s">
        <v>118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2" customHeight="1">
      <c r="A7" s="5" t="s">
        <v>52</v>
      </c>
      <c r="B7" s="5" t="s">
        <v>50</v>
      </c>
      <c r="C7" s="5" t="s">
        <v>22</v>
      </c>
      <c r="D7" s="5" t="s">
        <v>53</v>
      </c>
      <c r="E7" s="6">
        <v>120</v>
      </c>
      <c r="F7" s="8">
        <f>120-51</f>
        <v>69</v>
      </c>
      <c r="G7" s="7">
        <f t="shared" si="0"/>
        <v>7.9861111111111116E-4</v>
      </c>
      <c r="H7" s="9" t="s">
        <v>114</v>
      </c>
      <c r="I7" s="9" t="s">
        <v>115</v>
      </c>
      <c r="J7" s="9" t="s">
        <v>115</v>
      </c>
      <c r="K7" s="9" t="s">
        <v>127</v>
      </c>
      <c r="L7" s="9" t="s">
        <v>117</v>
      </c>
      <c r="M7" s="9" t="s">
        <v>117</v>
      </c>
      <c r="N7" s="9" t="s">
        <v>119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2" customHeight="1">
      <c r="A8" s="5" t="s">
        <v>54</v>
      </c>
      <c r="B8" s="5" t="s">
        <v>50</v>
      </c>
      <c r="C8" s="5" t="s">
        <v>23</v>
      </c>
      <c r="D8" s="5" t="s">
        <v>55</v>
      </c>
      <c r="E8" s="6">
        <v>180</v>
      </c>
      <c r="F8" s="8">
        <f>180-40</f>
        <v>140</v>
      </c>
      <c r="G8" s="7">
        <f t="shared" si="0"/>
        <v>1.6203703703703703E-3</v>
      </c>
      <c r="H8" s="9" t="s">
        <v>114</v>
      </c>
      <c r="I8" s="9" t="s">
        <v>115</v>
      </c>
      <c r="J8" s="9" t="s">
        <v>115</v>
      </c>
      <c r="K8" s="9" t="s">
        <v>128</v>
      </c>
      <c r="L8" s="9" t="s">
        <v>117</v>
      </c>
      <c r="M8" s="9" t="s">
        <v>117</v>
      </c>
      <c r="N8" s="9" t="s">
        <v>120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2.5" customHeight="1">
      <c r="A9" s="5" t="s">
        <v>56</v>
      </c>
      <c r="B9" s="5" t="s">
        <v>50</v>
      </c>
      <c r="C9" s="5" t="s">
        <v>24</v>
      </c>
      <c r="D9" s="5" t="s">
        <v>57</v>
      </c>
      <c r="E9" s="6">
        <v>180</v>
      </c>
      <c r="F9" s="8">
        <f>180-52</f>
        <v>128</v>
      </c>
      <c r="G9" s="7">
        <f t="shared" si="0"/>
        <v>1.4814814814814814E-3</v>
      </c>
      <c r="H9" s="9" t="s">
        <v>114</v>
      </c>
      <c r="I9" s="9" t="s">
        <v>115</v>
      </c>
      <c r="J9" s="9" t="s">
        <v>121</v>
      </c>
      <c r="K9" s="9" t="s">
        <v>123</v>
      </c>
      <c r="L9" s="9" t="s">
        <v>117</v>
      </c>
      <c r="M9" s="9" t="s">
        <v>117</v>
      </c>
      <c r="N9" s="9" t="s">
        <v>126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2" customHeight="1">
      <c r="A10" s="5" t="s">
        <v>58</v>
      </c>
      <c r="B10" s="5" t="s">
        <v>50</v>
      </c>
      <c r="C10" s="5" t="s">
        <v>25</v>
      </c>
      <c r="D10" s="5" t="s">
        <v>59</v>
      </c>
      <c r="E10" s="6">
        <v>120</v>
      </c>
      <c r="F10" s="8">
        <f>120-100</f>
        <v>20</v>
      </c>
      <c r="G10" s="7">
        <f t="shared" si="0"/>
        <v>2.3148148148148149E-4</v>
      </c>
      <c r="H10" s="9" t="s">
        <v>114</v>
      </c>
      <c r="I10" s="9" t="s">
        <v>115</v>
      </c>
      <c r="J10" s="9" t="s">
        <v>124</v>
      </c>
      <c r="K10" s="9" t="s">
        <v>122</v>
      </c>
      <c r="L10" s="9" t="s">
        <v>117</v>
      </c>
      <c r="M10" s="9" t="s">
        <v>117</v>
      </c>
      <c r="N10" s="9" t="s">
        <v>156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3" customHeight="1">
      <c r="A11" s="5" t="s">
        <v>60</v>
      </c>
      <c r="B11" s="5" t="s">
        <v>61</v>
      </c>
      <c r="C11" s="5" t="s">
        <v>21</v>
      </c>
      <c r="D11" s="5" t="s">
        <v>51</v>
      </c>
      <c r="E11" s="6">
        <v>180</v>
      </c>
      <c r="F11" s="8">
        <f>180-38</f>
        <v>142</v>
      </c>
      <c r="G11" s="7">
        <f t="shared" si="0"/>
        <v>1.6435185185185185E-3</v>
      </c>
      <c r="H11" s="9" t="s">
        <v>114</v>
      </c>
      <c r="I11" s="9" t="s">
        <v>115</v>
      </c>
      <c r="J11" s="9" t="s">
        <v>133</v>
      </c>
      <c r="K11" s="9" t="s">
        <v>132</v>
      </c>
      <c r="L11" s="9" t="s">
        <v>117</v>
      </c>
      <c r="M11" s="9" t="s">
        <v>117</v>
      </c>
      <c r="N11" s="9" t="s">
        <v>129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8.5" customHeight="1">
      <c r="A12" s="5" t="s">
        <v>62</v>
      </c>
      <c r="B12" s="5" t="s">
        <v>61</v>
      </c>
      <c r="C12" s="5" t="s">
        <v>22</v>
      </c>
      <c r="D12" s="5" t="s">
        <v>53</v>
      </c>
      <c r="E12" s="6">
        <v>120</v>
      </c>
      <c r="F12" s="8">
        <f>120-40</f>
        <v>80</v>
      </c>
      <c r="G12" s="7">
        <f t="shared" si="0"/>
        <v>9.2592592592592596E-4</v>
      </c>
      <c r="H12" s="9" t="s">
        <v>114</v>
      </c>
      <c r="I12" s="9" t="s">
        <v>115</v>
      </c>
      <c r="J12" s="9" t="s">
        <v>138</v>
      </c>
      <c r="K12" s="9" t="s">
        <v>139</v>
      </c>
      <c r="L12" s="9" t="s">
        <v>117</v>
      </c>
      <c r="M12" s="9" t="s">
        <v>117</v>
      </c>
      <c r="N12" s="9" t="s">
        <v>140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3.5" customHeight="1">
      <c r="A13" s="5" t="s">
        <v>63</v>
      </c>
      <c r="B13" s="5" t="s">
        <v>61</v>
      </c>
      <c r="C13" s="5" t="s">
        <v>23</v>
      </c>
      <c r="D13" s="5" t="s">
        <v>55</v>
      </c>
      <c r="E13" s="6">
        <v>180</v>
      </c>
      <c r="F13" s="8">
        <f>180+20</f>
        <v>200</v>
      </c>
      <c r="G13" s="7">
        <f t="shared" si="0"/>
        <v>2.3148148148148147E-3</v>
      </c>
      <c r="H13" s="9" t="s">
        <v>130</v>
      </c>
      <c r="I13" s="9" t="s">
        <v>131</v>
      </c>
      <c r="J13" s="9" t="s">
        <v>134</v>
      </c>
      <c r="K13" s="9" t="s">
        <v>135</v>
      </c>
      <c r="L13" s="9" t="s">
        <v>117</v>
      </c>
      <c r="M13" s="9" t="s">
        <v>117</v>
      </c>
      <c r="N13" s="9" t="s">
        <v>136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4.5" customHeight="1">
      <c r="A14" s="5" t="s">
        <v>64</v>
      </c>
      <c r="B14" s="5" t="s">
        <v>61</v>
      </c>
      <c r="C14" s="5" t="s">
        <v>24</v>
      </c>
      <c r="D14" s="5" t="s">
        <v>57</v>
      </c>
      <c r="E14" s="6">
        <v>180</v>
      </c>
      <c r="F14" s="8">
        <f>180</f>
        <v>180</v>
      </c>
      <c r="G14" s="7">
        <f t="shared" si="0"/>
        <v>2.0833333333333333E-3</v>
      </c>
      <c r="H14" s="9" t="s">
        <v>114</v>
      </c>
      <c r="I14" s="9" t="s">
        <v>115</v>
      </c>
      <c r="J14" s="9" t="s">
        <v>121</v>
      </c>
      <c r="K14" s="9" t="s">
        <v>137</v>
      </c>
      <c r="L14" s="9" t="s">
        <v>117</v>
      </c>
      <c r="M14" s="9" t="s">
        <v>117</v>
      </c>
      <c r="N14" s="9" t="s">
        <v>141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9" customHeight="1">
      <c r="A15" s="5" t="s">
        <v>65</v>
      </c>
      <c r="B15" s="5" t="s">
        <v>61</v>
      </c>
      <c r="C15" s="5" t="s">
        <v>25</v>
      </c>
      <c r="D15" s="5" t="s">
        <v>59</v>
      </c>
      <c r="E15" s="6">
        <v>120</v>
      </c>
      <c r="F15" s="8">
        <f>120-45</f>
        <v>75</v>
      </c>
      <c r="G15" s="7">
        <f t="shared" si="0"/>
        <v>8.6805555555555551E-4</v>
      </c>
      <c r="H15" s="9" t="s">
        <v>114</v>
      </c>
      <c r="I15" s="9" t="s">
        <v>115</v>
      </c>
      <c r="J15" s="9" t="s">
        <v>115</v>
      </c>
      <c r="K15" s="9" t="s">
        <v>142</v>
      </c>
      <c r="L15" s="9" t="s">
        <v>117</v>
      </c>
      <c r="M15" s="9" t="s">
        <v>117</v>
      </c>
      <c r="N15" s="9" t="s">
        <v>157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" customHeight="1">
      <c r="A16" s="5" t="s">
        <v>66</v>
      </c>
      <c r="B16" s="5" t="s">
        <v>67</v>
      </c>
      <c r="C16" s="5" t="s">
        <v>21</v>
      </c>
      <c r="D16" s="5" t="s">
        <v>51</v>
      </c>
      <c r="E16" s="6">
        <v>180</v>
      </c>
      <c r="F16" s="8">
        <f>180-90</f>
        <v>90</v>
      </c>
      <c r="G16" s="7">
        <f t="shared" si="0"/>
        <v>1.0416666666666667E-3</v>
      </c>
      <c r="H16" s="9" t="s">
        <v>114</v>
      </c>
      <c r="I16" s="9" t="s">
        <v>115</v>
      </c>
      <c r="J16" s="9" t="s">
        <v>115</v>
      </c>
      <c r="K16" s="9" t="s">
        <v>144</v>
      </c>
      <c r="L16" s="9" t="s">
        <v>117</v>
      </c>
      <c r="M16" s="9" t="s">
        <v>117</v>
      </c>
      <c r="N16" s="9" t="s">
        <v>145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79" customHeight="1">
      <c r="A17" s="5" t="s">
        <v>68</v>
      </c>
      <c r="B17" s="5" t="s">
        <v>67</v>
      </c>
      <c r="C17" s="5" t="s">
        <v>22</v>
      </c>
      <c r="D17" s="5" t="s">
        <v>53</v>
      </c>
      <c r="E17" s="6">
        <v>120</v>
      </c>
      <c r="F17" s="8">
        <f>120-75</f>
        <v>45</v>
      </c>
      <c r="G17" s="7">
        <f t="shared" si="0"/>
        <v>5.2083333333333333E-4</v>
      </c>
      <c r="H17" s="9" t="s">
        <v>114</v>
      </c>
      <c r="I17" s="9" t="s">
        <v>115</v>
      </c>
      <c r="J17" s="9" t="s">
        <v>158</v>
      </c>
      <c r="K17" s="9" t="s">
        <v>146</v>
      </c>
      <c r="L17" s="9" t="s">
        <v>117</v>
      </c>
      <c r="M17" s="9" t="s">
        <v>117</v>
      </c>
      <c r="N17" s="9" t="s">
        <v>147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2" customHeight="1">
      <c r="A18" s="5" t="s">
        <v>69</v>
      </c>
      <c r="B18" s="5" t="s">
        <v>67</v>
      </c>
      <c r="C18" s="5" t="s">
        <v>23</v>
      </c>
      <c r="D18" s="5" t="s">
        <v>55</v>
      </c>
      <c r="E18" s="6">
        <v>180</v>
      </c>
      <c r="F18" s="8">
        <f>180-101</f>
        <v>79</v>
      </c>
      <c r="G18" s="7">
        <f t="shared" si="0"/>
        <v>9.1435185185185185E-4</v>
      </c>
      <c r="H18" s="9" t="s">
        <v>114</v>
      </c>
      <c r="I18" s="9" t="s">
        <v>115</v>
      </c>
      <c r="J18" s="9" t="s">
        <v>148</v>
      </c>
      <c r="K18" s="9" t="s">
        <v>150</v>
      </c>
      <c r="L18" s="9" t="s">
        <v>117</v>
      </c>
      <c r="M18" s="9" t="s">
        <v>117</v>
      </c>
      <c r="N18" s="9" t="s">
        <v>149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5" customHeight="1">
      <c r="A19" s="5" t="s">
        <v>70</v>
      </c>
      <c r="B19" s="5" t="s">
        <v>67</v>
      </c>
      <c r="C19" s="5" t="s">
        <v>24</v>
      </c>
      <c r="D19" s="5" t="s">
        <v>57</v>
      </c>
      <c r="E19" s="6">
        <v>180</v>
      </c>
      <c r="F19" s="8">
        <f>180-6</f>
        <v>174</v>
      </c>
      <c r="G19" s="7">
        <f t="shared" si="0"/>
        <v>2.0138888888888888E-3</v>
      </c>
      <c r="H19" s="9" t="s">
        <v>114</v>
      </c>
      <c r="I19" s="9" t="s">
        <v>115</v>
      </c>
      <c r="J19" s="9" t="s">
        <v>121</v>
      </c>
      <c r="K19" s="9" t="s">
        <v>152</v>
      </c>
      <c r="L19" s="9" t="s">
        <v>117</v>
      </c>
      <c r="M19" s="9" t="s">
        <v>117</v>
      </c>
      <c r="N19" s="9" t="s">
        <v>151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2" customHeight="1">
      <c r="A20" s="5" t="s">
        <v>71</v>
      </c>
      <c r="B20" s="5" t="s">
        <v>67</v>
      </c>
      <c r="C20" s="5" t="s">
        <v>25</v>
      </c>
      <c r="D20" s="5" t="s">
        <v>59</v>
      </c>
      <c r="E20" s="6">
        <v>120</v>
      </c>
      <c r="F20" s="8">
        <f>120-105</f>
        <v>15</v>
      </c>
      <c r="G20" s="7">
        <f t="shared" si="0"/>
        <v>1.7361111111111112E-4</v>
      </c>
      <c r="H20" s="9" t="s">
        <v>114</v>
      </c>
      <c r="I20" s="9" t="s">
        <v>115</v>
      </c>
      <c r="J20" s="9" t="s">
        <v>115</v>
      </c>
      <c r="K20" s="9" t="s">
        <v>153</v>
      </c>
      <c r="L20" s="9" t="s">
        <v>117</v>
      </c>
      <c r="M20" s="9" t="s">
        <v>117</v>
      </c>
      <c r="N20" s="9" t="s">
        <v>154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2:N2"/>
    <mergeCell ref="A3:N3"/>
  </mergeCells>
  <conditionalFormatting sqref="H6:H20">
    <cfRule type="containsText" dxfId="3" priority="1" operator="containsText" text="Éxito"/>
    <cfRule type="containsText" dxfId="2" priority="2" operator="containsText" text="Fallo"/>
  </conditionalFormatting>
  <dataValidations count="2">
    <dataValidation type="list" sqref="H6:H20" xr:uid="{00000000-0002-0000-0100-000000000000}">
      <formula1>"Éxito,Fallo"</formula1>
    </dataValidation>
    <dataValidation type="list" sqref="J7:J8 I6:I20" xr:uid="{00000000-0002-0000-0100-000001000000}">
      <formula1>",Por tiempo,Con ayuda,Funcional,Abandono"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5B3D7"/>
  </sheetPr>
  <dimension ref="A1:Z100"/>
  <sheetViews>
    <sheetView showGridLines="0" zoomScale="85" zoomScaleNormal="85" workbookViewId="0">
      <pane ySplit="5" topLeftCell="A6" activePane="bottomLeft" state="frozen"/>
      <selection pane="bottomLeft" activeCell="C16" sqref="C16"/>
    </sheetView>
  </sheetViews>
  <sheetFormatPr baseColWidth="10" defaultColWidth="8.6640625" defaultRowHeight="14"/>
  <cols>
    <col min="1" max="1" width="14" customWidth="1"/>
    <col min="2" max="2" width="17" customWidth="1"/>
    <col min="3" max="3" width="21" customWidth="1"/>
    <col min="4" max="4" width="20" customWidth="1"/>
    <col min="5" max="5" width="27" customWidth="1"/>
    <col min="6" max="6" width="24" customWidth="1"/>
    <col min="7" max="7" width="30" customWidth="1"/>
    <col min="8" max="8" width="17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" customHeight="1">
      <c r="A2" s="13" t="s">
        <v>72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 t="s">
        <v>73</v>
      </c>
      <c r="B3" s="14"/>
      <c r="C3" s="14"/>
      <c r="D3" s="14"/>
      <c r="E3" s="14"/>
      <c r="F3" s="14"/>
      <c r="G3" s="14"/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" customHeight="1">
      <c r="A5" s="2" t="s">
        <v>38</v>
      </c>
      <c r="B5" s="2" t="s">
        <v>74</v>
      </c>
      <c r="C5" s="2" t="s">
        <v>75</v>
      </c>
      <c r="D5" s="2" t="s">
        <v>76</v>
      </c>
      <c r="E5" s="2" t="s">
        <v>77</v>
      </c>
      <c r="F5" s="2" t="s">
        <v>78</v>
      </c>
      <c r="G5" s="2" t="s">
        <v>79</v>
      </c>
      <c r="H5" s="2" t="s">
        <v>80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8" customHeight="1">
      <c r="A6" s="5" t="s">
        <v>50</v>
      </c>
      <c r="B6" s="9" t="s">
        <v>113</v>
      </c>
      <c r="C6" s="9" t="s">
        <v>113</v>
      </c>
      <c r="D6" s="9" t="s">
        <v>113</v>
      </c>
      <c r="E6" s="9" t="s">
        <v>81</v>
      </c>
      <c r="F6" s="9" t="s">
        <v>82</v>
      </c>
      <c r="G6" s="9" t="s">
        <v>143</v>
      </c>
      <c r="H6" s="5" t="str">
        <f>IF(AND(B6="Sí",C6="Sí",D6="Sí",COUNTIF(Registros!$B$6:$B$20,A6)=5,COUNTIFS(Registros!$B$6:$B$20,A6,Registros!$H$6:$H$20,"Éxito")+COUNTIFS(Registros!$B$6:$B$20,A6,Registros!$H$6:$H$20,"Fallo")=5),"Completa","Pendiente")</f>
        <v>Completa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8" customHeight="1">
      <c r="A7" s="5" t="s">
        <v>61</v>
      </c>
      <c r="B7" s="9" t="s">
        <v>113</v>
      </c>
      <c r="C7" s="9" t="s">
        <v>113</v>
      </c>
      <c r="D7" s="9" t="s">
        <v>113</v>
      </c>
      <c r="E7" s="9" t="s">
        <v>83</v>
      </c>
      <c r="F7" s="9" t="s">
        <v>84</v>
      </c>
      <c r="G7" s="9" t="s">
        <v>143</v>
      </c>
      <c r="H7" s="5" t="str">
        <f>IF(AND(B7="Sí",C7="Sí",D7="Sí",COUNTIF(Registros!$B$6:$B$20,A7)=5,COUNTIFS(Registros!$B$6:$B$20,A7,Registros!$H$6:$H$20,"Éxito")+COUNTIFS(Registros!$B$6:$B$20,A7,Registros!$H$6:$H$20,"Fallo")=5),"Completa","Pendiente")</f>
        <v>Completa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8" customHeight="1">
      <c r="A8" s="5" t="s">
        <v>67</v>
      </c>
      <c r="B8" s="9" t="s">
        <v>113</v>
      </c>
      <c r="C8" s="9" t="s">
        <v>113</v>
      </c>
      <c r="D8" s="9" t="s">
        <v>113</v>
      </c>
      <c r="E8" s="9" t="s">
        <v>85</v>
      </c>
      <c r="F8" s="9" t="s">
        <v>86</v>
      </c>
      <c r="G8" s="9" t="s">
        <v>143</v>
      </c>
      <c r="H8" s="5" t="str">
        <f>IF(AND(B8="Sí",C8="Sí",D8="Sí",COUNTIF(Registros!$B$6:$B$20,A8)=5,COUNTIFS(Registros!$B$6:$B$20,A8,Registros!$H$6:$H$20,"Éxito")+COUNTIFS(Registros!$B$6:$B$20,A8,Registros!$H$6:$H$20,"Fallo")=5),"Completa","Pendiente")</f>
        <v>Completa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" customHeight="1">
      <c r="A11" s="16" t="s">
        <v>87</v>
      </c>
      <c r="B11" s="14"/>
      <c r="C11" s="14"/>
      <c r="D11" s="14"/>
      <c r="E11" s="14"/>
      <c r="F11" s="14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" customHeight="1">
      <c r="A12" s="2" t="s">
        <v>88</v>
      </c>
      <c r="B12" s="2" t="s">
        <v>89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>
      <c r="A13" s="5" t="s">
        <v>90</v>
      </c>
      <c r="B13" s="10" t="s">
        <v>113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7.5">
      <c r="A14" s="5" t="s">
        <v>91</v>
      </c>
      <c r="B14" s="10" t="s">
        <v>113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7.5">
      <c r="A15" s="5" t="s">
        <v>92</v>
      </c>
      <c r="B15" s="10" t="s">
        <v>113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>
      <c r="A16" s="5" t="s">
        <v>93</v>
      </c>
      <c r="B16" s="10" t="s">
        <v>113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7.5">
      <c r="A17" s="5" t="s">
        <v>94</v>
      </c>
      <c r="B17" s="10" t="s">
        <v>113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3">
    <mergeCell ref="A2:H2"/>
    <mergeCell ref="A3:H3"/>
    <mergeCell ref="A11:H11"/>
  </mergeCells>
  <conditionalFormatting sqref="H6:H8">
    <cfRule type="containsText" dxfId="1" priority="1" operator="containsText" text="Completa"/>
    <cfRule type="containsText" dxfId="0" priority="2" operator="containsText" text="Pendiente"/>
  </conditionalFormatting>
  <dataValidations count="1">
    <dataValidation type="list" sqref="B6:D8 B13:B17" xr:uid="{00000000-0002-0000-0200-000000000000}">
      <formula1>"Sí,No"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Z100"/>
  <sheetViews>
    <sheetView showGridLines="0" workbookViewId="0">
      <pane ySplit="5" topLeftCell="A6" activePane="bottomLeft" state="frozen"/>
      <selection pane="bottomLeft" activeCell="C6" sqref="C6"/>
    </sheetView>
  </sheetViews>
  <sheetFormatPr baseColWidth="10" defaultColWidth="8.6640625" defaultRowHeight="14"/>
  <cols>
    <col min="1" max="2" width="10" customWidth="1"/>
    <col min="3" max="4" width="29" customWidth="1"/>
    <col min="5" max="5" width="13" customWidth="1"/>
    <col min="6" max="6" width="24" customWidth="1"/>
    <col min="7" max="7" width="13" customWidth="1"/>
    <col min="8" max="8" width="30" customWidth="1"/>
    <col min="9" max="9" width="18" customWidth="1"/>
    <col min="10" max="10" width="14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" customHeight="1">
      <c r="A2" s="13" t="s">
        <v>95</v>
      </c>
      <c r="B2" s="14"/>
      <c r="C2" s="14"/>
      <c r="D2" s="14"/>
      <c r="E2" s="14"/>
      <c r="F2" s="14"/>
      <c r="G2" s="14"/>
      <c r="H2" s="14"/>
      <c r="I2" s="14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 t="s">
        <v>96</v>
      </c>
      <c r="B3" s="14"/>
      <c r="C3" s="14"/>
      <c r="D3" s="14"/>
      <c r="E3" s="14"/>
      <c r="F3" s="14"/>
      <c r="G3" s="14"/>
      <c r="H3" s="14"/>
      <c r="I3" s="14"/>
      <c r="J3" s="1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" customHeight="1">
      <c r="A5" s="2" t="s">
        <v>37</v>
      </c>
      <c r="B5" s="2" t="s">
        <v>14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  <c r="H5" s="2" t="s">
        <v>102</v>
      </c>
      <c r="I5" s="2" t="s">
        <v>28</v>
      </c>
      <c r="J5" s="2" t="s">
        <v>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" customHeight="1">
      <c r="A6" s="5" t="s">
        <v>103</v>
      </c>
      <c r="B6" s="9"/>
      <c r="C6" s="9"/>
      <c r="D6" s="9"/>
      <c r="E6" s="9"/>
      <c r="F6" s="9"/>
      <c r="G6" s="9"/>
      <c r="H6" s="9"/>
      <c r="I6" s="9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2" customHeight="1">
      <c r="A7" s="5" t="s">
        <v>104</v>
      </c>
      <c r="B7" s="9"/>
      <c r="C7" s="9"/>
      <c r="D7" s="9"/>
      <c r="E7" s="9"/>
      <c r="F7" s="9"/>
      <c r="G7" s="9"/>
      <c r="H7" s="9"/>
      <c r="I7" s="9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2" customHeight="1">
      <c r="A8" s="5" t="s">
        <v>105</v>
      </c>
      <c r="B8" s="9"/>
      <c r="C8" s="9"/>
      <c r="D8" s="9"/>
      <c r="E8" s="9"/>
      <c r="F8" s="9"/>
      <c r="G8" s="9"/>
      <c r="H8" s="9"/>
      <c r="I8" s="9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2" customHeight="1">
      <c r="A9" s="5" t="s">
        <v>106</v>
      </c>
      <c r="B9" s="9"/>
      <c r="C9" s="9"/>
      <c r="D9" s="9"/>
      <c r="E9" s="9"/>
      <c r="F9" s="9"/>
      <c r="G9" s="9"/>
      <c r="H9" s="9"/>
      <c r="I9" s="9"/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2" customHeight="1">
      <c r="A10" s="5" t="s">
        <v>107</v>
      </c>
      <c r="B10" s="9"/>
      <c r="C10" s="9"/>
      <c r="D10" s="9"/>
      <c r="E10" s="9"/>
      <c r="F10" s="9"/>
      <c r="G10" s="9"/>
      <c r="H10" s="9"/>
      <c r="I10" s="9"/>
      <c r="J10" s="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2" customHeight="1">
      <c r="A11" s="5" t="s">
        <v>108</v>
      </c>
      <c r="B11" s="9"/>
      <c r="C11" s="9"/>
      <c r="D11" s="9"/>
      <c r="E11" s="9"/>
      <c r="F11" s="9"/>
      <c r="G11" s="9"/>
      <c r="H11" s="9"/>
      <c r="I11" s="9"/>
      <c r="J11" s="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2" customHeight="1">
      <c r="A12" s="5" t="s">
        <v>109</v>
      </c>
      <c r="B12" s="9"/>
      <c r="C12" s="9"/>
      <c r="D12" s="9"/>
      <c r="E12" s="9"/>
      <c r="F12" s="9"/>
      <c r="G12" s="9"/>
      <c r="H12" s="9"/>
      <c r="I12" s="9"/>
      <c r="J12" s="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2" customHeight="1">
      <c r="A13" s="5" t="s">
        <v>110</v>
      </c>
      <c r="B13" s="9"/>
      <c r="C13" s="9"/>
      <c r="D13" s="9"/>
      <c r="E13" s="9"/>
      <c r="F13" s="9"/>
      <c r="G13" s="9"/>
      <c r="H13" s="9"/>
      <c r="I13" s="9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" customHeight="1">
      <c r="A14" s="5" t="s">
        <v>111</v>
      </c>
      <c r="B14" s="9"/>
      <c r="C14" s="9"/>
      <c r="D14" s="9"/>
      <c r="E14" s="9"/>
      <c r="F14" s="9"/>
      <c r="G14" s="9"/>
      <c r="H14" s="9"/>
      <c r="I14" s="9"/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" customHeight="1">
      <c r="A15" s="5" t="s">
        <v>112</v>
      </c>
      <c r="B15" s="9"/>
      <c r="C15" s="9"/>
      <c r="D15" s="9"/>
      <c r="E15" s="9"/>
      <c r="F15" s="9"/>
      <c r="G15" s="9"/>
      <c r="H15" s="9"/>
      <c r="I15" s="9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2:J2"/>
    <mergeCell ref="A3:J3"/>
  </mergeCells>
  <dataValidations count="3">
    <dataValidation type="list" sqref="B6:B15" xr:uid="{00000000-0002-0000-0300-000000000000}">
      <formula1>"F1,F2,F3,F4,F5,Transversal"</formula1>
    </dataValidation>
    <dataValidation type="list" sqref="G6:G15" xr:uid="{00000000-0002-0000-0300-000001000000}">
      <formula1>"Baja,Media,Alta,Crítica"</formula1>
    </dataValidation>
    <dataValidation type="list" sqref="J6:J15" xr:uid="{00000000-0002-0000-0300-000002000000}">
      <formula1>"Nuevo,Priorizado,Descartado,Resuelto"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Registros</vt:lpstr>
      <vt:lpstr>Evidencia</vt:lpstr>
      <vt:lpstr>Hallazgos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Alejandra Avilés</cp:lastModifiedBy>
  <dcterms:modified xsi:type="dcterms:W3CDTF">2026-09-28T05:48:18Z</dcterms:modified>
</cp:coreProperties>
</file>