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0" yWindow="0" windowWidth="12980" windowHeight="16090" tabRatio="600" firstSheet="0" activeTab="1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Registros" sheetId="2" state="visible" r:id="rId2"/>
    <sheet xmlns:r="http://schemas.openxmlformats.org/officeDocument/2006/relationships" name="Evidencia" sheetId="3" state="visible" r:id="rId3"/>
    <sheet xmlns:r="http://schemas.openxmlformats.org/officeDocument/2006/relationships" name="Hallazg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m]:ss"/>
  </numFmts>
  <fonts count="7">
    <font>
      <name val="Carlito"/>
      <sz val="11"/>
    </font>
    <font>
      <name val="Arial"/>
      <color rgb="FF1F2937"/>
      <sz val="10"/>
    </font>
    <font>
      <name val="Arial"/>
      <b val="1"/>
      <color rgb="FF000000"/>
      <sz val="16"/>
    </font>
    <font>
      <name val="Arial"/>
      <i val="1"/>
      <color rgb="FF667085"/>
      <sz val="9"/>
    </font>
    <font>
      <name val="Arial"/>
      <b val="1"/>
      <color rgb="FFFFFFFF"/>
      <sz val="10"/>
    </font>
    <font>
      <name val="Arial"/>
      <b val="1"/>
      <color rgb="FF000000"/>
      <sz val="11"/>
    </font>
    <font>
      <name val="Arial"/>
      <b val="1"/>
      <color rgb="FFA61B1B"/>
      <sz val="14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CE6F1"/>
      </patternFill>
    </fill>
    <fill>
      <patternFill patternType="solid">
        <fgColor rgb="FFFCE8E6"/>
      </patternFill>
    </fill>
  </fills>
  <borders count="8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 wrapText="1"/>
    </xf>
    <xf numFmtId="0" fontId="1" fillId="0" borderId="2" applyAlignment="1" pivotButton="0" quotePrefix="0" xfId="0">
      <alignment vertical="center"/>
    </xf>
    <xf numFmtId="164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1" fontId="1" fillId="0" borderId="2" applyAlignment="1" pivotButton="0" quotePrefix="0" xfId="0">
      <alignment vertical="center" wrapText="1"/>
    </xf>
    <xf numFmtId="164" fontId="1" fillId="0" borderId="2" applyAlignment="1" pivotButton="0" quotePrefix="0" xfId="0">
      <alignment vertical="center" wrapText="1"/>
    </xf>
    <xf numFmtId="1" fontId="1" fillId="3" borderId="2" applyAlignment="1" pivotButton="0" quotePrefix="0" xfId="0">
      <alignment vertical="center" wrapText="1"/>
    </xf>
    <xf numFmtId="0" fontId="1" fillId="3" borderId="2" applyAlignment="1" pivotButton="0" quotePrefix="0" xfId="0">
      <alignment vertical="center" wrapText="1"/>
    </xf>
    <xf numFmtId="0" fontId="1" fillId="3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9" fontId="1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1" fillId="3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6" fillId="5" borderId="4" applyAlignment="1" pivotButton="0" quotePrefix="0" xfId="0">
      <alignment vertical="center"/>
    </xf>
    <xf numFmtId="0" fontId="1" fillId="5" borderId="4" applyAlignment="1" pivotButton="0" quotePrefix="0" xfId="0">
      <alignment vertical="center"/>
    </xf>
    <xf numFmtId="0" fontId="1" fillId="5" borderId="5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5" applyAlignment="1" pivotButton="0" quotePrefix="0" xfId="0">
      <alignment vertical="center"/>
    </xf>
    <xf numFmtId="0" fontId="1" fillId="0" borderId="2" applyAlignment="1" pivotButton="0" quotePrefix="0" xfId="0">
      <alignment vertical="top" wrapText="1"/>
    </xf>
    <xf numFmtId="0" fontId="1" fillId="3" borderId="2" applyAlignment="1" pivotButton="0" quotePrefix="0" xfId="0">
      <alignment vertical="top" wrapText="1"/>
    </xf>
  </cellXfs>
  <cellStyles count="1">
    <cellStyle name="Normal" xfId="0" builtinId="0"/>
  </cellStyles>
  <dxfs count="6">
    <dxf>
      <font>
        <b val="1"/>
        <color rgb="FFA61B1B"/>
      </font>
      <fill>
        <patternFill patternType="solid">
          <bgColor rgb="FFFCE8E6"/>
        </patternFill>
      </fill>
    </dxf>
    <dxf>
      <font>
        <b val="1"/>
        <color rgb="FF35682D"/>
      </font>
      <fill>
        <patternFill patternType="solid">
          <bgColor rgb="FFE2F0D9"/>
        </patternFill>
      </fill>
    </dxf>
    <dxf>
      <font>
        <b val="1"/>
        <color rgb="FFA61B1B"/>
      </font>
      <fill>
        <patternFill patternType="solid">
          <bgColor rgb="FFFCE8E6"/>
        </patternFill>
      </fill>
    </dxf>
    <dxf>
      <font>
        <b val="1"/>
        <color rgb="FF35682D"/>
      </font>
      <fill>
        <patternFill patternType="solid">
          <bgColor rgb="FFE2F0D9"/>
        </patternFill>
      </fill>
    </dxf>
    <dxf>
      <font>
        <b val="1"/>
        <color rgb="FF35682D"/>
      </font>
      <fill>
        <patternFill patternType="solid">
          <bgColor rgb="FFE2F0D9"/>
        </patternFill>
      </fill>
    </dxf>
    <dxf>
      <font>
        <b val="1"/>
        <color rgb="FFA61B1B"/>
      </font>
      <fill>
        <patternFill patternType="solid">
          <bgColor rgb="FFFCE8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Z100"/>
  <sheetViews>
    <sheetView showGridLines="0" workbookViewId="0">
      <pane ySplit="5" topLeftCell="A18" activePane="bottomLeft" state="frozen"/>
      <selection pane="bottomLeft" activeCell="C30" sqref="C30:G30"/>
    </sheetView>
  </sheetViews>
  <sheetFormatPr baseColWidth="10" defaultColWidth="8.6640625" defaultRowHeight="14"/>
  <cols>
    <col width="31" customWidth="1" min="1" max="1"/>
    <col width="15" customWidth="1" min="2" max="2"/>
    <col width="14" customWidth="1" min="3" max="6"/>
    <col width="17" customWidth="1" min="7" max="7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6" customHeight="1">
      <c r="A2" s="13" t="inlineStr">
        <is>
          <t>Resumen de aceptación del estudio</t>
        </is>
      </c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15" t="inlineStr">
        <is>
          <t>El estudio se cierra solo cuando las cinco condiciones obligatorias están completas.</t>
        </is>
      </c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 ht="22" customHeight="1">
      <c r="A5" s="16" t="inlineStr">
        <is>
          <t>Estado general</t>
        </is>
      </c>
      <c r="B5" s="22" t="n"/>
      <c r="C5" s="22" t="n"/>
      <c r="D5" s="22" t="n"/>
      <c r="E5" s="22" t="n"/>
      <c r="F5" s="22" t="n"/>
      <c r="G5" s="23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 ht="18" customHeight="1">
      <c r="A6" s="11" t="inlineStr">
        <is>
          <t>Estado</t>
        </is>
      </c>
      <c r="B6" s="24">
        <f>IF(AND(B9=15,B10=15,B11=15,B12=3,B13=3,B14=3),"LISTO PARA CERRAR","PENDIENTE")</f>
        <v/>
      </c>
      <c r="C6" s="22" t="n"/>
      <c r="D6" s="23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 ht="34" customHeight="1">
      <c r="A8" s="2" t="inlineStr">
        <is>
          <t>Requisito</t>
        </is>
      </c>
      <c r="B8" s="2" t="inlineStr">
        <is>
          <t>Actual</t>
        </is>
      </c>
      <c r="C8" s="2" t="inlineStr">
        <is>
          <t>Meta</t>
        </is>
      </c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>
      <c r="A9" s="18" t="inlineStr">
        <is>
          <t>Resultados registrados</t>
        </is>
      </c>
      <c r="B9" s="18">
        <f>COUNTIF(Registros!$H$6:$H$20,"Éxito")+COUNTIF(Registros!$H$6:$H$20,"Fallo")</f>
        <v/>
      </c>
      <c r="C9" s="18" t="n">
        <v>15</v>
      </c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>
      <c r="A10" s="18" t="inlineStr">
        <is>
          <t>Tiempos registrados</t>
        </is>
      </c>
      <c r="B10" s="18">
        <f>COUNT(Registros!$F$6:$F$20)</f>
        <v/>
      </c>
      <c r="C10" s="18" t="n">
        <v>15</v>
      </c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>
      <c r="A11" s="18" t="inlineStr">
        <is>
          <t>Comentarios textuales</t>
        </is>
      </c>
      <c r="B11" s="18">
        <f>COUNTIF(Registros!$K$6:$K$20,"?*")</f>
        <v/>
      </c>
      <c r="C11" s="18" t="n">
        <v>15</v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>
      <c r="A12" s="18" t="inlineStr">
        <is>
          <t>Consentimientos firmados</t>
        </is>
      </c>
      <c r="B12" s="18">
        <f>COUNTIF(Evidencia!$C$6:$C$8,"Sí")</f>
        <v/>
      </c>
      <c r="C12" s="18" t="n">
        <v>3</v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>
      <c r="A13" s="18" t="inlineStr">
        <is>
          <t>Fotografías válidas</t>
        </is>
      </c>
      <c r="B13" s="18">
        <f>COUNTIF(Evidencia!$D$6:$D$8,"Sí")</f>
        <v/>
      </c>
      <c r="C13" s="18" t="n">
        <v>3</v>
      </c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>
      <c r="A14" s="18" t="inlineStr">
        <is>
          <t>Sesiones completas</t>
        </is>
      </c>
      <c r="B14" s="18">
        <f>COUNTIF(Evidencia!$H$6:$H$8,"Completa")</f>
        <v/>
      </c>
      <c r="C14" s="18" t="n">
        <v>3</v>
      </c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 ht="22" customHeight="1">
      <c r="A17" s="16" t="inlineStr">
        <is>
          <t>Resultados por tarea</t>
        </is>
      </c>
      <c r="B17" s="22" t="n"/>
      <c r="C17" s="22" t="n"/>
      <c r="D17" s="22" t="n"/>
      <c r="E17" s="22" t="n"/>
      <c r="F17" s="22" t="n"/>
      <c r="G17" s="23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 ht="34" customHeight="1">
      <c r="A18" s="2" t="inlineStr">
        <is>
          <t>Tarea</t>
        </is>
      </c>
      <c r="B18" s="2" t="inlineStr">
        <is>
          <t>Límite (seg)</t>
        </is>
      </c>
      <c r="C18" s="2" t="inlineStr">
        <is>
          <t>Éxitos</t>
        </is>
      </c>
      <c r="D18" s="2" t="inlineStr">
        <is>
          <t>Fallos</t>
        </is>
      </c>
      <c r="E18" s="2" t="inlineStr">
        <is>
          <t>Tiempo medio</t>
        </is>
      </c>
      <c r="F18" s="2" t="inlineStr">
        <is>
          <t>Tasa de éxito</t>
        </is>
      </c>
      <c r="G18" s="2" t="inlineStr">
        <is>
          <t>Dentro del límite</t>
        </is>
      </c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>
      <c r="A19" s="18" t="inlineStr">
        <is>
          <t>F1</t>
        </is>
      </c>
      <c r="B19" s="18" t="n">
        <v>180</v>
      </c>
      <c r="C19" s="18">
        <f>COUNTIFS(Registros!$C$6:$C$20,A19,Registros!$H$6:$H$20,"Éxito")</f>
        <v/>
      </c>
      <c r="D19" s="18">
        <f>COUNTIFS(Registros!$C$6:$C$20,A19,Registros!$H$6:$H$20,"Fallo")</f>
        <v/>
      </c>
      <c r="E19" s="4">
        <f>IFERROR(AVERAGEIF(Registros!$C$6:$C$20,A19,Registros!$F$6:$F$20)/86400,"")</f>
        <v/>
      </c>
      <c r="F19" s="12">
        <f>C19/3</f>
        <v/>
      </c>
      <c r="G19" s="18">
        <f>COUNTIFS(Registros!$C$6:$C$20,A19,Registros!$F$6:$F$20,"&gt;0",Registros!$F$6:$F$20,"&lt;="&amp;B19)</f>
        <v/>
      </c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>
      <c r="A20" s="18" t="inlineStr">
        <is>
          <t>F2</t>
        </is>
      </c>
      <c r="B20" s="18" t="n">
        <v>120</v>
      </c>
      <c r="C20" s="18">
        <f>COUNTIFS(Registros!$C$6:$C$20,A20,Registros!$H$6:$H$20,"Éxito")</f>
        <v/>
      </c>
      <c r="D20" s="18">
        <f>COUNTIFS(Registros!$C$6:$C$20,A20,Registros!$H$6:$H$20,"Fallo")</f>
        <v/>
      </c>
      <c r="E20" s="4">
        <f>IFERROR(AVERAGEIF(Registros!$C$6:$C$20,A20,Registros!$F$6:$F$20)/86400,"")</f>
        <v/>
      </c>
      <c r="F20" s="12">
        <f>C20/3</f>
        <v/>
      </c>
      <c r="G20" s="18">
        <f>COUNTIFS(Registros!$C$6:$C$20,A20,Registros!$F$6:$F$20,"&gt;0",Registros!$F$6:$F$20,"&lt;="&amp;B20)</f>
        <v/>
      </c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>
      <c r="A21" s="18" t="inlineStr">
        <is>
          <t>F3</t>
        </is>
      </c>
      <c r="B21" s="18" t="n">
        <v>180</v>
      </c>
      <c r="C21" s="18">
        <f>COUNTIFS(Registros!$C$6:$C$20,A21,Registros!$H$6:$H$20,"Éxito")</f>
        <v/>
      </c>
      <c r="D21" s="18">
        <f>COUNTIFS(Registros!$C$6:$C$20,A21,Registros!$H$6:$H$20,"Fallo")</f>
        <v/>
      </c>
      <c r="E21" s="4">
        <f>IFERROR(AVERAGEIF(Registros!$C$6:$C$20,A21,Registros!$F$6:$F$20)/86400,"")</f>
        <v/>
      </c>
      <c r="F21" s="12">
        <f>C21/3</f>
        <v/>
      </c>
      <c r="G21" s="18">
        <f>COUNTIFS(Registros!$C$6:$C$20,A21,Registros!$F$6:$F$20,"&gt;0",Registros!$F$6:$F$20,"&lt;="&amp;B21)</f>
        <v/>
      </c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>
      <c r="A22" s="18" t="inlineStr">
        <is>
          <t>F4</t>
        </is>
      </c>
      <c r="B22" s="18" t="n">
        <v>180</v>
      </c>
      <c r="C22" s="18">
        <f>COUNTIFS(Registros!$C$6:$C$20,A22,Registros!$H$6:$H$20,"Éxito")</f>
        <v/>
      </c>
      <c r="D22" s="18">
        <f>COUNTIFS(Registros!$C$6:$C$20,A22,Registros!$H$6:$H$20,"Fallo")</f>
        <v/>
      </c>
      <c r="E22" s="4">
        <f>IFERROR(AVERAGEIF(Registros!$C$6:$C$20,A22,Registros!$F$6:$F$20)/86400,"")</f>
        <v/>
      </c>
      <c r="F22" s="12">
        <f>C22/3</f>
        <v/>
      </c>
      <c r="G22" s="18">
        <f>COUNTIFS(Registros!$C$6:$C$20,A22,Registros!$F$6:$F$20,"&gt;0",Registros!$F$6:$F$20,"&lt;="&amp;B22)</f>
        <v/>
      </c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>
      <c r="A23" s="18" t="inlineStr">
        <is>
          <t>F5</t>
        </is>
      </c>
      <c r="B23" s="18" t="n">
        <v>120</v>
      </c>
      <c r="C23" s="18">
        <f>COUNTIFS(Registros!$C$6:$C$20,A23,Registros!$H$6:$H$20,"Éxito")</f>
        <v/>
      </c>
      <c r="D23" s="18">
        <f>COUNTIFS(Registros!$C$6:$C$20,A23,Registros!$H$6:$H$20,"Fallo")</f>
        <v/>
      </c>
      <c r="E23" s="4">
        <f>IFERROR(AVERAGEIF(Registros!$C$6:$C$20,A23,Registros!$F$6:$F$20)/86400,"")</f>
        <v/>
      </c>
      <c r="F23" s="12">
        <f>C23/3</f>
        <v/>
      </c>
      <c r="G23" s="18">
        <f>COUNTIFS(Registros!$C$6:$C$20,A23,Registros!$F$6:$F$20,"&gt;0",Registros!$F$6:$F$20,"&lt;="&amp;B23)</f>
        <v/>
      </c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 ht="22" customHeight="1">
      <c r="A26" s="16" t="inlineStr">
        <is>
          <t>Control final</t>
        </is>
      </c>
      <c r="B26" s="22" t="n"/>
      <c r="C26" s="22" t="n"/>
      <c r="D26" s="22" t="n"/>
      <c r="E26" s="22" t="n"/>
      <c r="F26" s="22" t="n"/>
      <c r="G26" s="23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 ht="34" customHeight="1">
      <c r="A27" s="2" t="inlineStr">
        <is>
          <t>Paso</t>
        </is>
      </c>
      <c r="B27" s="2" t="inlineStr">
        <is>
          <t>Responsable</t>
        </is>
      </c>
      <c r="C27" s="2" t="inlineStr">
        <is>
          <t>Estado</t>
        </is>
      </c>
      <c r="D27" s="2" t="n"/>
      <c r="E27" s="2" t="n"/>
      <c r="F27" s="2" t="n"/>
      <c r="G27" s="2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 ht="28" customHeight="1">
      <c r="A28" s="18" t="inlineStr">
        <is>
          <t>Revisar las 15 filas y resolver vacíos</t>
        </is>
      </c>
      <c r="B28" s="18" t="inlineStr">
        <is>
          <t>Juan</t>
        </is>
      </c>
      <c r="C28" s="17" t="inlineStr">
        <is>
          <t>Completo</t>
        </is>
      </c>
      <c r="D28" s="22" t="n"/>
      <c r="E28" s="22" t="n"/>
      <c r="F28" s="22" t="n"/>
      <c r="G28" s="23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 ht="28" customHeight="1">
      <c r="A29" s="18" t="inlineStr">
        <is>
          <t>Validar firmas y fotografías</t>
        </is>
      </c>
      <c r="B29" s="18" t="inlineStr">
        <is>
          <t>Alejandra</t>
        </is>
      </c>
      <c r="C29" s="17" t="inlineStr">
        <is>
          <t>Completo</t>
        </is>
      </c>
      <c r="D29" s="22" t="n"/>
      <c r="E29" s="22" t="n"/>
      <c r="F29" s="22" t="n"/>
      <c r="G29" s="23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 ht="28" customHeight="1">
      <c r="A30" s="18" t="inlineStr">
        <is>
          <t>Entregar el archivo único para análisis</t>
        </is>
      </c>
      <c r="B30" s="18" t="inlineStr">
        <is>
          <t>Alejandra y Juan</t>
        </is>
      </c>
      <c r="C30" s="17" t="n"/>
      <c r="D30" s="22" t="n"/>
      <c r="E30" s="22" t="n"/>
      <c r="F30" s="22" t="n"/>
      <c r="G30" s="23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</sheetData>
  <mergeCells count="9">
    <mergeCell ref="C29:G29"/>
    <mergeCell ref="C30:G30"/>
    <mergeCell ref="A17:G17"/>
    <mergeCell ref="A3:G3"/>
    <mergeCell ref="C28:G28"/>
    <mergeCell ref="A26:G26"/>
    <mergeCell ref="A2:G2"/>
    <mergeCell ref="B6:D6"/>
    <mergeCell ref="A5:G5"/>
  </mergeCells>
  <conditionalFormatting sqref="B9:B14">
    <cfRule type="cellIs" priority="2" operator="lessThan" dxfId="0">
      <formula>C9</formula>
    </cfRule>
  </conditionalFormatting>
  <conditionalFormatting sqref="B6:D6">
    <cfRule type="containsText" priority="1" operator="containsText" dxfId="1" text="LISTO"/>
  </conditionalFormatting>
  <dataValidations count="1">
    <dataValidation sqref="C28:C30" showDropDown="0" showInputMessage="0" showErrorMessage="0" allowBlank="0" type="list">
      <formula1>"Pendiente,Completo"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Z100"/>
  <sheetViews>
    <sheetView showGridLines="0" tabSelected="1" zoomScale="70" zoomScaleNormal="70" workbookViewId="0">
      <pane xSplit="3" ySplit="5" topLeftCell="D7" activePane="bottomRight" state="frozen"/>
      <selection pane="topRight" activeCell="A1" sqref="A1"/>
      <selection pane="bottomLeft" activeCell="A1" sqref="A1"/>
      <selection pane="bottomRight" activeCell="J17" sqref="J17"/>
    </sheetView>
  </sheetViews>
  <sheetFormatPr baseColWidth="10" defaultColWidth="8.6640625" defaultRowHeight="14"/>
  <cols>
    <col width="13" customWidth="1" min="1" max="1"/>
    <col width="12" customWidth="1" min="2" max="2"/>
    <col width="8" customWidth="1" min="3" max="3"/>
    <col width="26" customWidth="1" min="4" max="4"/>
    <col width="11" customWidth="1" min="5" max="5"/>
    <col width="12" customWidth="1" min="6" max="6"/>
    <col width="10" customWidth="1" min="7" max="7"/>
    <col width="12" customWidth="1" min="8" max="8"/>
    <col width="16" customWidth="1" min="9" max="9"/>
    <col width="29" customWidth="1" min="10" max="10"/>
    <col width="31" customWidth="1" min="11" max="11"/>
    <col width="24" customWidth="1" min="12" max="12"/>
    <col width="23" customWidth="1" min="13" max="13"/>
    <col width="27" customWidth="1" min="14" max="14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6" customHeight="1">
      <c r="A2" s="13" t="inlineStr">
        <is>
          <t>Registro de sesiones de usabilidad de Fase 2</t>
        </is>
      </c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15" t="inlineStr">
        <is>
          <t>Campos amarillos: captura del anotador. Registra el tiempo incluso cuando falle y conserva las palabras exactas del participante.</t>
        </is>
      </c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 ht="34" customHeight="1">
      <c r="A5" s="2" t="inlineStr">
        <is>
          <t>ID</t>
        </is>
      </c>
      <c r="B5" s="2" t="inlineStr">
        <is>
          <t>Participante</t>
        </is>
      </c>
      <c r="C5" s="2" t="inlineStr">
        <is>
          <t>Tarea</t>
        </is>
      </c>
      <c r="D5" s="2" t="inlineStr">
        <is>
          <t>Flujo</t>
        </is>
      </c>
      <c r="E5" s="2" t="inlineStr">
        <is>
          <t>Límite (seg)</t>
        </is>
      </c>
      <c r="F5" s="2" t="inlineStr">
        <is>
          <t>Tiempo (seg)</t>
        </is>
      </c>
      <c r="G5" s="2" t="inlineStr">
        <is>
          <t>Tiempo</t>
        </is>
      </c>
      <c r="H5" s="2" t="inlineStr">
        <is>
          <t>Resultado</t>
        </is>
      </c>
      <c r="I5" s="2" t="inlineStr">
        <is>
          <t>Motivo de fallo</t>
        </is>
      </c>
      <c r="J5" s="2" t="inlineStr">
        <is>
          <t>Punto de fricción observable</t>
        </is>
      </c>
      <c r="K5" s="2" t="inlineStr">
        <is>
          <t>Comentario textual</t>
        </is>
      </c>
      <c r="L5" s="2" t="inlineStr">
        <is>
          <t>Ayuda o intervención</t>
        </is>
      </c>
      <c r="M5" s="2" t="inlineStr">
        <is>
          <t>Incidencia del ambiente</t>
        </is>
      </c>
      <c r="N5" s="2" t="inlineStr">
        <is>
          <t>Notas del anotador</t>
        </is>
      </c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 ht="42" customHeight="1">
      <c r="A6" s="5" t="inlineStr">
        <is>
          <t>P01-F1</t>
        </is>
      </c>
      <c r="B6" s="5" t="inlineStr">
        <is>
          <t>P01</t>
        </is>
      </c>
      <c r="C6" s="5" t="inlineStr">
        <is>
          <t>F1</t>
        </is>
      </c>
      <c r="D6" s="5" t="inlineStr">
        <is>
          <t>Alta de producto</t>
        </is>
      </c>
      <c r="E6" s="6" t="n">
        <v>180</v>
      </c>
      <c r="F6" s="8">
        <f>180-22</f>
        <v/>
      </c>
      <c r="G6" s="7">
        <f>IF(F6="","",F6/86400)</f>
        <v/>
      </c>
      <c r="H6" s="9" t="inlineStr">
        <is>
          <t>Éxito</t>
        </is>
      </c>
      <c r="I6" s="9" t="inlineStr">
        <is>
          <t>No aplica</t>
        </is>
      </c>
      <c r="J6" s="9" t="inlineStr">
        <is>
          <t>Oprimió "cancelar" en lugar de guardar y tuvo que repetir el proceso.</t>
        </is>
      </c>
      <c r="K6" s="9" t="inlineStr">
        <is>
          <t>"Pensé que le había dado en guardar, pero no pude ver bien, así que parece que lo eliminé."</t>
        </is>
      </c>
      <c r="L6" s="9" t="inlineStr">
        <is>
          <t>Ninguna</t>
        </is>
      </c>
      <c r="M6" s="9" t="inlineStr">
        <is>
          <t>Ninguna</t>
        </is>
      </c>
      <c r="N6" s="9" t="inlineStr">
        <is>
          <t>El tiempo estuvo algo justo par apoder añadir el producto por repetir el proceso.</t>
        </is>
      </c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 ht="42" customHeight="1">
      <c r="A7" s="5" t="inlineStr">
        <is>
          <t>P01-F2</t>
        </is>
      </c>
      <c r="B7" s="5" t="inlineStr">
        <is>
          <t>P01</t>
        </is>
      </c>
      <c r="C7" s="5" t="inlineStr">
        <is>
          <t>F2</t>
        </is>
      </c>
      <c r="D7" s="5" t="inlineStr">
        <is>
          <t>Vincular proveedor</t>
        </is>
      </c>
      <c r="E7" s="6" t="n">
        <v>120</v>
      </c>
      <c r="F7" s="8">
        <f>120-51</f>
        <v/>
      </c>
      <c r="G7" s="7">
        <f>IF(F7="","",F7/86400)</f>
        <v/>
      </c>
      <c r="H7" s="9" t="inlineStr">
        <is>
          <t>Éxito</t>
        </is>
      </c>
      <c r="I7" s="9" t="inlineStr">
        <is>
          <t>No aplica</t>
        </is>
      </c>
      <c r="J7" s="9" t="inlineStr">
        <is>
          <t>No aplica</t>
        </is>
      </c>
      <c r="K7" s="9" t="inlineStr">
        <is>
          <t>"Que confuso poder localizar dónde añadir el proveedor."</t>
        </is>
      </c>
      <c r="L7" s="9" t="inlineStr">
        <is>
          <t>Ninguna</t>
        </is>
      </c>
      <c r="M7" s="9" t="inlineStr">
        <is>
          <t>Ninguna</t>
        </is>
      </c>
      <c r="N7" s="9" t="inlineStr">
        <is>
          <t>Se le hizo fácil añadir el proveedor.</t>
        </is>
      </c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 ht="42" customHeight="1">
      <c r="A8" s="5" t="inlineStr">
        <is>
          <t>P01-F3</t>
        </is>
      </c>
      <c r="B8" s="5" t="inlineStr">
        <is>
          <t>P01</t>
        </is>
      </c>
      <c r="C8" s="5" t="inlineStr">
        <is>
          <t>F3</t>
        </is>
      </c>
      <c r="D8" s="5" t="inlineStr">
        <is>
          <t>Registrar venta</t>
        </is>
      </c>
      <c r="E8" s="6" t="n">
        <v>180</v>
      </c>
      <c r="F8" s="8">
        <f>180-40</f>
        <v/>
      </c>
      <c r="G8" s="7">
        <f>IF(F8="","",F8/86400)</f>
        <v/>
      </c>
      <c r="H8" s="9" t="inlineStr">
        <is>
          <t>Éxito</t>
        </is>
      </c>
      <c r="I8" s="9" t="inlineStr">
        <is>
          <t>No aplica</t>
        </is>
      </c>
      <c r="J8" s="9" t="inlineStr">
        <is>
          <t>No aplica</t>
        </is>
      </c>
      <c r="K8" s="9" t="inlineStr">
        <is>
          <t>"No lograba encontrar dónde vender el producto, pero toda ves lo encontré, fue fácil llenar lo solicitado."</t>
        </is>
      </c>
      <c r="L8" s="9" t="inlineStr">
        <is>
          <t>Ninguna</t>
        </is>
      </c>
      <c r="M8" s="9" t="inlineStr">
        <is>
          <t>Ninguna</t>
        </is>
      </c>
      <c r="N8" s="9" t="inlineStr">
        <is>
          <t>Ligero problema por contraste de texto respecto al fondo.</t>
        </is>
      </c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 ht="52.5" customHeight="1">
      <c r="A9" s="5" t="inlineStr">
        <is>
          <t>P01-F4</t>
        </is>
      </c>
      <c r="B9" s="5" t="inlineStr">
        <is>
          <t>P01</t>
        </is>
      </c>
      <c r="C9" s="5" t="inlineStr">
        <is>
          <t>F4</t>
        </is>
      </c>
      <c r="D9" s="5" t="inlineStr">
        <is>
          <t>Crear y programar publicación</t>
        </is>
      </c>
      <c r="E9" s="6" t="n">
        <v>180</v>
      </c>
      <c r="F9" s="8">
        <f>180-52</f>
        <v/>
      </c>
      <c r="G9" s="7">
        <f>IF(F9="","",F9/86400)</f>
        <v/>
      </c>
      <c r="H9" s="9" t="inlineStr">
        <is>
          <t>Éxito</t>
        </is>
      </c>
      <c r="I9" s="9" t="inlineStr">
        <is>
          <t>No aplica</t>
        </is>
      </c>
      <c r="J9" s="9" t="inlineStr">
        <is>
          <t>Al elegir el proyecto y formato de publicación no se leían los textos sin tener que poner el cursor encima de las opciones.</t>
        </is>
      </c>
      <c r="K9" s="9" t="inlineStr">
        <is>
          <t>"Al darle programar a la publicación, le cambió la hora a las 4:00 am, y sí había escrito bien la hora, pero al guardar el borrador lo cambió el sistema."</t>
        </is>
      </c>
      <c r="L9" s="9" t="inlineStr">
        <is>
          <t>Ninguna</t>
        </is>
      </c>
      <c r="M9" s="9" t="inlineStr">
        <is>
          <t>Ninguna</t>
        </is>
      </c>
      <c r="N9" s="9" t="inlineStr">
        <is>
          <t>Efectivamente, al un problema con las publicaciones de marketing, cambia la hora en la que se programa.</t>
        </is>
      </c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 ht="42" customHeight="1">
      <c r="A10" s="5" t="inlineStr">
        <is>
          <t>P01-F5</t>
        </is>
      </c>
      <c r="B10" s="5" t="inlineStr">
        <is>
          <t>P01</t>
        </is>
      </c>
      <c r="C10" s="5" t="inlineStr">
        <is>
          <t>F5</t>
        </is>
      </c>
      <c r="D10" s="5" t="inlineStr">
        <is>
          <t>Filtrar publicaciones por estado</t>
        </is>
      </c>
      <c r="E10" s="6" t="n">
        <v>120</v>
      </c>
      <c r="F10" s="8">
        <f>120-100</f>
        <v/>
      </c>
      <c r="G10" s="7">
        <f>IF(F10="","",F10/86400)</f>
        <v/>
      </c>
      <c r="H10" s="9" t="inlineStr">
        <is>
          <t>Éxito</t>
        </is>
      </c>
      <c r="I10" s="9" t="inlineStr">
        <is>
          <t>No aplica</t>
        </is>
      </c>
      <c r="J10" s="9" t="inlineStr">
        <is>
          <t>Dudó al momento de poder dejar programada la publicación.</t>
        </is>
      </c>
      <c r="K10" s="9" t="inlineStr">
        <is>
          <t>"Para filtrar, ¿cómo lo hago?"</t>
        </is>
      </c>
      <c r="L10" s="9" t="inlineStr">
        <is>
          <t>Ninguna</t>
        </is>
      </c>
      <c r="M10" s="9" t="inlineStr">
        <is>
          <t>Ninguna</t>
        </is>
      </c>
      <c r="N10" s="9" t="inlineStr">
        <is>
          <t>No identificó inmediatamente el control para filtrar por estado</t>
        </is>
      </c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 ht="53" customHeight="1">
      <c r="A11" s="5" t="inlineStr">
        <is>
          <t>P02-F1</t>
        </is>
      </c>
      <c r="B11" s="5" t="inlineStr">
        <is>
          <t>P02</t>
        </is>
      </c>
      <c r="C11" s="5" t="inlineStr">
        <is>
          <t>F1</t>
        </is>
      </c>
      <c r="D11" s="5" t="inlineStr">
        <is>
          <t>Alta de producto</t>
        </is>
      </c>
      <c r="E11" s="6" t="n">
        <v>180</v>
      </c>
      <c r="F11" s="8">
        <f>180-38</f>
        <v/>
      </c>
      <c r="G11" s="7">
        <f>IF(F11="","",F11/86400)</f>
        <v/>
      </c>
      <c r="H11" s="9" t="inlineStr">
        <is>
          <t>Éxito</t>
        </is>
      </c>
      <c r="I11" s="9" t="inlineStr">
        <is>
          <t>No aplica</t>
        </is>
      </c>
      <c r="J11" s="9" t="inlineStr">
        <is>
          <t>Ubicar dónde se puede añadir productos</t>
        </is>
      </c>
      <c r="K11" s="9" t="inlineStr">
        <is>
          <t>"Me confunde la interfaz porque no está a la mano como imaginé cada botón/acción/encabezado."</t>
        </is>
      </c>
      <c r="L11" s="9" t="inlineStr">
        <is>
          <t>Ninguna</t>
        </is>
      </c>
      <c r="M11" s="9" t="inlineStr">
        <is>
          <t>Ninguna</t>
        </is>
      </c>
      <c r="N11" s="9" t="inlineStr">
        <is>
          <t>No le fue muy intuitivo el añadir el producto porque esperaba que hubiera un botón de acceso directo en la pantalla principal.</t>
        </is>
      </c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 ht="68.5" customHeight="1">
      <c r="A12" s="5" t="inlineStr">
        <is>
          <t>P02-F2</t>
        </is>
      </c>
      <c r="B12" s="5" t="inlineStr">
        <is>
          <t>P02</t>
        </is>
      </c>
      <c r="C12" s="5" t="inlineStr">
        <is>
          <t>F2</t>
        </is>
      </c>
      <c r="D12" s="5" t="inlineStr">
        <is>
          <t>Vincular proveedor</t>
        </is>
      </c>
      <c r="E12" s="6" t="n">
        <v>120</v>
      </c>
      <c r="F12" s="8">
        <f>120-40</f>
        <v/>
      </c>
      <c r="G12" s="7">
        <f>IF(F12="","",F12/86400)</f>
        <v/>
      </c>
      <c r="H12" s="9" t="inlineStr">
        <is>
          <t>Éxito</t>
        </is>
      </c>
      <c r="I12" s="9" t="inlineStr">
        <is>
          <t>No aplica</t>
        </is>
      </c>
      <c r="J12" s="9" t="inlineStr">
        <is>
          <t>Le constó un poco asimilar que en la tarjeta del producto se añade el proveedor.</t>
        </is>
      </c>
      <c r="K12" s="9" t="inlineStr">
        <is>
          <t>"Estaría mejor si pudiera pensar o encontrar intuitivamente que ahí mismo está para vincular el proveedor, no pensé que estaría ahí."</t>
        </is>
      </c>
      <c r="L12" s="9" t="inlineStr">
        <is>
          <t>Ninguna</t>
        </is>
      </c>
      <c r="M12" s="9" t="inlineStr">
        <is>
          <t>Ninguna</t>
        </is>
      </c>
      <c r="N12" s="9" t="inlineStr">
        <is>
          <t>Le costó un poco asimilar que en la tarjeta del producto estuviera la vinculación con el proveedor.</t>
        </is>
      </c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 ht="53.5" customHeight="1">
      <c r="A13" s="5" t="inlineStr">
        <is>
          <t>P02-F3</t>
        </is>
      </c>
      <c r="B13" s="5" t="inlineStr">
        <is>
          <t>P02</t>
        </is>
      </c>
      <c r="C13" s="5" t="inlineStr">
        <is>
          <t>F3</t>
        </is>
      </c>
      <c r="D13" s="5" t="inlineStr">
        <is>
          <t>Registrar venta</t>
        </is>
      </c>
      <c r="E13" s="6" t="n">
        <v>180</v>
      </c>
      <c r="F13" s="8">
        <f>180+20</f>
        <v/>
      </c>
      <c r="G13" s="7">
        <f>IF(F13="","",F13/86400)</f>
        <v/>
      </c>
      <c r="H13" s="9" t="inlineStr">
        <is>
          <t>Fallo</t>
        </is>
      </c>
      <c r="I13" s="9" t="inlineStr">
        <is>
          <t>Por tiempo</t>
        </is>
      </c>
      <c r="J13" s="9" t="inlineStr">
        <is>
          <t xml:space="preserve">Confundir añadir proyecto con añadir venta, pensó que para crear la venta debía estar la función dentro de la tarjeta del producto. </t>
        </is>
      </c>
      <c r="K13" s="9" t="inlineStr">
        <is>
          <t>"Cuándo dicen en Stock, ¿a qué se refieren? No encuentró fácilmente si realicé la venta, deberían poner una notificación push/rápida para confirmarlo"</t>
        </is>
      </c>
      <c r="L13" s="9" t="inlineStr">
        <is>
          <t>Ninguna</t>
        </is>
      </c>
      <c r="M13" s="9" t="inlineStr">
        <is>
          <t>Ninguna</t>
        </is>
      </c>
      <c r="N13" s="9" t="inlineStr">
        <is>
          <t>Navegó en otras pestañas antes de póner encontrar dónde era. No lograba terminar de entender el proceso de vender el producto.</t>
        </is>
      </c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 ht="64.5" customHeight="1">
      <c r="A14" s="5" t="inlineStr">
        <is>
          <t>P02-F4</t>
        </is>
      </c>
      <c r="B14" s="5" t="inlineStr">
        <is>
          <t>P02</t>
        </is>
      </c>
      <c r="C14" s="5" t="inlineStr">
        <is>
          <t>F4</t>
        </is>
      </c>
      <c r="D14" s="5" t="inlineStr">
        <is>
          <t>Crear y programar publicación</t>
        </is>
      </c>
      <c r="E14" s="6" t="n">
        <v>180</v>
      </c>
      <c r="F14" s="8">
        <f>180</f>
        <v/>
      </c>
      <c r="G14" s="7">
        <f>IF(F14="","",F14/86400)</f>
        <v/>
      </c>
      <c r="H14" s="9" t="inlineStr">
        <is>
          <t>Éxito</t>
        </is>
      </c>
      <c r="I14" s="9" t="inlineStr">
        <is>
          <t>No aplica</t>
        </is>
      </c>
      <c r="J14" s="9" t="inlineStr">
        <is>
          <t>Al elegir el proyecto y formato de publicación no se leían los textos sin tener que poner el cursor encima de las opciones.</t>
        </is>
      </c>
      <c r="K14" s="9" t="inlineStr">
        <is>
          <t>"Me gustaría o sería mejor que pudiera ver las opciones sin tener que mover el mouse sobre las posibles opciones buscando."</t>
        </is>
      </c>
      <c r="L14" s="9" t="inlineStr">
        <is>
          <t>Ninguna</t>
        </is>
      </c>
      <c r="M14" s="9" t="inlineStr">
        <is>
          <t>Ninguna</t>
        </is>
      </c>
      <c r="N14" s="9" t="inlineStr">
        <is>
          <t>Le resultó mucho más fácil redactar la publicación, aunque sigue el problema de la visualización de ciertos apartados. Tiempo justo al poder dejarla programada.</t>
        </is>
      </c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 ht="49" customHeight="1">
      <c r="A15" s="5" t="inlineStr">
        <is>
          <t>P02-F5</t>
        </is>
      </c>
      <c r="B15" s="5" t="inlineStr">
        <is>
          <t>P02</t>
        </is>
      </c>
      <c r="C15" s="5" t="inlineStr">
        <is>
          <t>F5</t>
        </is>
      </c>
      <c r="D15" s="5" t="inlineStr">
        <is>
          <t>Filtrar publicaciones por estado</t>
        </is>
      </c>
      <c r="E15" s="6" t="n">
        <v>120</v>
      </c>
      <c r="F15" s="8">
        <f>120-45</f>
        <v/>
      </c>
      <c r="G15" s="7">
        <f>IF(F15="","",F15/86400)</f>
        <v/>
      </c>
      <c r="H15" s="9" t="inlineStr">
        <is>
          <t>Éxito</t>
        </is>
      </c>
      <c r="I15" s="9" t="inlineStr">
        <is>
          <t>No aplica</t>
        </is>
      </c>
      <c r="J15" s="9" t="inlineStr">
        <is>
          <t>No aplica</t>
        </is>
      </c>
      <c r="K15" s="9" t="inlineStr">
        <is>
          <t>"Me costó un poco ver dónde estaba lo necesario para filtrar, pero una vez encontrado, me fue muy fácil."</t>
        </is>
      </c>
      <c r="L15" s="9" t="inlineStr">
        <is>
          <t>Ninguna</t>
        </is>
      </c>
      <c r="M15" s="9" t="inlineStr">
        <is>
          <t>Ninguna</t>
        </is>
      </c>
      <c r="N15" s="9" t="inlineStr">
        <is>
          <t>Tardó en localizar el filtro; después lo utilizó sin dificultad</t>
        </is>
      </c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 ht="52" customHeight="1">
      <c r="A16" s="5" t="inlineStr">
        <is>
          <t>P03-F1</t>
        </is>
      </c>
      <c r="B16" s="5" t="inlineStr">
        <is>
          <t>P03</t>
        </is>
      </c>
      <c r="C16" s="5" t="inlineStr">
        <is>
          <t>F1</t>
        </is>
      </c>
      <c r="D16" s="5" t="inlineStr">
        <is>
          <t>Alta de producto</t>
        </is>
      </c>
      <c r="E16" s="6" t="n">
        <v>180</v>
      </c>
      <c r="F16" s="8">
        <f>180-90</f>
        <v/>
      </c>
      <c r="G16" s="7">
        <f>IF(F16="","",F16/86400)</f>
        <v/>
      </c>
      <c r="H16" s="9" t="inlineStr">
        <is>
          <t>Éxito</t>
        </is>
      </c>
      <c r="I16" s="9" t="inlineStr">
        <is>
          <t>No aplica</t>
        </is>
      </c>
      <c r="J16" s="9" t="inlineStr">
        <is>
          <t>No aplica</t>
        </is>
      </c>
      <c r="K16" s="9" t="inlineStr">
        <is>
          <t>"¿En inventario? A saber, ¿una nueva tarea?"</t>
        </is>
      </c>
      <c r="L16" s="9" t="inlineStr">
        <is>
          <t>Ninguna</t>
        </is>
      </c>
      <c r="M16" s="9" t="inlineStr">
        <is>
          <t>Ninguna</t>
        </is>
      </c>
      <c r="N16" s="9" t="inlineStr">
        <is>
          <t>Hubo un poco de confusión al encontrar dónde añadir el producto, pero luego de navegar un poco, lo encontró.</t>
        </is>
      </c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 ht="79" customHeight="1">
      <c r="A17" s="5" t="inlineStr">
        <is>
          <t>P03-F2</t>
        </is>
      </c>
      <c r="B17" s="5" t="inlineStr">
        <is>
          <t>P03</t>
        </is>
      </c>
      <c r="C17" s="5" t="inlineStr">
        <is>
          <t>F2</t>
        </is>
      </c>
      <c r="D17" s="5" t="inlineStr">
        <is>
          <t>Vincular proveedor</t>
        </is>
      </c>
      <c r="E17" s="6" t="n">
        <v>120</v>
      </c>
      <c r="F17" s="8">
        <f>120-75</f>
        <v/>
      </c>
      <c r="G17" s="7">
        <f>IF(F17="","",F17/86400)</f>
        <v/>
      </c>
      <c r="H17" s="9" t="inlineStr">
        <is>
          <t>Éxito</t>
        </is>
      </c>
      <c r="I17" s="9" t="inlineStr">
        <is>
          <t>No aplica</t>
        </is>
      </c>
      <c r="J17" s="9" t="inlineStr">
        <is>
          <t>Pensó que aparecería otra vista para vincular el proveedor.</t>
        </is>
      </c>
      <c r="K17" s="9" t="inlineStr">
        <is>
          <t>"Sí puedo validar el proveedor vinculado."</t>
        </is>
      </c>
      <c r="L17" s="9" t="inlineStr">
        <is>
          <t>Ninguna</t>
        </is>
      </c>
      <c r="M17" s="9" t="inlineStr">
        <is>
          <t>Ninguna</t>
        </is>
      </c>
      <c r="N17" s="9" t="inlineStr">
        <is>
          <t>Hubo complicación al vincular el proveedor porque pensó que al oprimir el botón, cambiaría la vista/saldría una ventana para hacerlo. Luego de llenar los datos, pudo terminar satisfactoriamente.</t>
        </is>
      </c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 ht="42" customHeight="1">
      <c r="A18" s="5" t="inlineStr">
        <is>
          <t>P03-F3</t>
        </is>
      </c>
      <c r="B18" s="5" t="inlineStr">
        <is>
          <t>P03</t>
        </is>
      </c>
      <c r="C18" s="5" t="inlineStr">
        <is>
          <t>F3</t>
        </is>
      </c>
      <c r="D18" s="5" t="inlineStr">
        <is>
          <t>Registrar venta</t>
        </is>
      </c>
      <c r="E18" s="6" t="n">
        <v>180</v>
      </c>
      <c r="F18" s="8">
        <f>180-101</f>
        <v/>
      </c>
      <c r="G18" s="7">
        <f>IF(F18="","",F18/86400)</f>
        <v/>
      </c>
      <c r="H18" s="9" t="inlineStr">
        <is>
          <t>Éxito</t>
        </is>
      </c>
      <c r="I18" s="9" t="inlineStr">
        <is>
          <t>No aplica</t>
        </is>
      </c>
      <c r="J18" s="9" t="inlineStr">
        <is>
          <t>Encontrar dónde ingresar para registrar la venta.</t>
        </is>
      </c>
      <c r="K18" s="9" t="inlineStr">
        <is>
          <t>"¿Dónde puedo hacerlo...? ¿Habrá una ventana de ventas exclusivamente?, ah es en inventario también."</t>
        </is>
      </c>
      <c r="L18" s="9" t="inlineStr">
        <is>
          <t>Ninguna</t>
        </is>
      </c>
      <c r="M18" s="9" t="inlineStr">
        <is>
          <t>Ninguna</t>
        </is>
      </c>
      <c r="N18" s="9" t="inlineStr">
        <is>
          <t>Buscaba algún espacio de "ventas" o similares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 ht="55" customHeight="1">
      <c r="A19" s="5" t="inlineStr">
        <is>
          <t>P03-F4</t>
        </is>
      </c>
      <c r="B19" s="5" t="inlineStr">
        <is>
          <t>P03</t>
        </is>
      </c>
      <c r="C19" s="5" t="inlineStr">
        <is>
          <t>F4</t>
        </is>
      </c>
      <c r="D19" s="5" t="inlineStr">
        <is>
          <t>Crear y programar publicación</t>
        </is>
      </c>
      <c r="E19" s="6" t="n">
        <v>180</v>
      </c>
      <c r="F19" s="8">
        <f>180-6</f>
        <v/>
      </c>
      <c r="G19" s="7">
        <f>IF(F19="","",F19/86400)</f>
        <v/>
      </c>
      <c r="H19" s="9" t="inlineStr">
        <is>
          <t>Éxito</t>
        </is>
      </c>
      <c r="I19" s="9" t="inlineStr">
        <is>
          <t>No aplica</t>
        </is>
      </c>
      <c r="J19" s="9" t="inlineStr">
        <is>
          <t>Al elegir el proyecto y formato de publicación no se leían los textos sin tener que poner el cursor encima de las opciones.</t>
        </is>
      </c>
      <c r="K19" s="9" t="inlineStr">
        <is>
          <t>"Ya lo hice, la que estaba ahí la programé. Ah, ¿Debía ser una nueva? ¿Dónde le doy?"</t>
        </is>
      </c>
      <c r="L19" s="9" t="inlineStr">
        <is>
          <t>Ninguna</t>
        </is>
      </c>
      <c r="M19" s="9" t="inlineStr">
        <is>
          <t>Ninguna</t>
        </is>
      </c>
      <c r="N19" s="9" t="inlineStr">
        <is>
          <t>Hubo un poco de confusión al crear una publicación nueva, y programó la que ya estaba de borrador en el entorno de prueba.</t>
        </is>
      </c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 ht="42" customHeight="1">
      <c r="A20" s="5" t="inlineStr">
        <is>
          <t>P03-F5</t>
        </is>
      </c>
      <c r="B20" s="5" t="inlineStr">
        <is>
          <t>P03</t>
        </is>
      </c>
      <c r="C20" s="5" t="inlineStr">
        <is>
          <t>F5</t>
        </is>
      </c>
      <c r="D20" s="5" t="inlineStr">
        <is>
          <t>Filtrar publicaciones por estado</t>
        </is>
      </c>
      <c r="E20" s="6" t="n">
        <v>120</v>
      </c>
      <c r="F20" s="8">
        <f>120-105</f>
        <v/>
      </c>
      <c r="G20" s="7">
        <f>IF(F20="","",F20/86400)</f>
        <v/>
      </c>
      <c r="H20" s="9" t="inlineStr">
        <is>
          <t>Éxito</t>
        </is>
      </c>
      <c r="I20" s="9" t="inlineStr">
        <is>
          <t>No aplica</t>
        </is>
      </c>
      <c r="J20" s="9" t="inlineStr">
        <is>
          <t>No aplica</t>
        </is>
      </c>
      <c r="K20" s="9" t="inlineStr">
        <is>
          <t>"Aquí puedo ver filtrada la que acabo de crear."</t>
        </is>
      </c>
      <c r="L20" s="9" t="inlineStr">
        <is>
          <t>Ninguna</t>
        </is>
      </c>
      <c r="M20" s="9" t="inlineStr">
        <is>
          <t>Ninguna</t>
        </is>
      </c>
      <c r="N20" s="9" t="inlineStr">
        <is>
          <t>No tuvo problemas al culminar la tarea.</t>
        </is>
      </c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</sheetData>
  <mergeCells count="2">
    <mergeCell ref="A3:N3"/>
    <mergeCell ref="A2:N2"/>
  </mergeCells>
  <conditionalFormatting sqref="H6:H20">
    <cfRule type="containsText" priority="1" operator="containsText" dxfId="1" text="Éxito"/>
    <cfRule type="containsText" priority="2" operator="containsText" dxfId="0" text="Fallo"/>
  </conditionalFormatting>
  <dataValidations count="2">
    <dataValidation sqref="H6:H20" showDropDown="0" showInputMessage="0" showErrorMessage="0" allowBlank="0" type="list">
      <formula1>"Éxito,Fallo"</formula1>
    </dataValidation>
    <dataValidation sqref="I6:I20 J7:J8" showDropDown="0" showInputMessage="0" showErrorMessage="0" allowBlank="0" type="list">
      <formula1>",Por tiempo,Con ayuda,Funcional,Abandono"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5B3D7"/>
    <outlinePr summaryBelow="1" summaryRight="1"/>
    <pageSetUpPr/>
  </sheetPr>
  <dimension ref="A1:Z100"/>
  <sheetViews>
    <sheetView showGridLines="0" zoomScale="85" zoomScaleNormal="85" workbookViewId="0">
      <pane ySplit="5" topLeftCell="A6" activePane="bottomLeft" state="frozen"/>
      <selection pane="bottomLeft" activeCell="C16" sqref="C16"/>
    </sheetView>
  </sheetViews>
  <sheetFormatPr baseColWidth="10" defaultColWidth="8.6640625" defaultRowHeight="14"/>
  <cols>
    <col width="14" customWidth="1" min="1" max="1"/>
    <col width="17" customWidth="1" min="2" max="2"/>
    <col width="21" customWidth="1" min="3" max="3"/>
    <col width="20" customWidth="1" min="4" max="4"/>
    <col width="27" customWidth="1" min="5" max="5"/>
    <col width="24" customWidth="1" min="6" max="6"/>
    <col width="30" customWidth="1" min="7" max="7"/>
    <col width="17" customWidth="1" min="8" max="8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6" customHeight="1">
      <c r="A2" s="13" t="inlineStr">
        <is>
          <t>Evidencia y privacidad</t>
        </is>
      </c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15" t="inlineStr">
        <is>
          <t>Usa solo identificadores P01–P03. Conserva los consentimientos firmados separados de las notas y fotos.</t>
        </is>
      </c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 ht="34" customHeight="1">
      <c r="A5" s="2" t="inlineStr">
        <is>
          <t>Participante</t>
        </is>
      </c>
      <c r="B5" s="2" t="inlineStr">
        <is>
          <t>Perfil confirmado</t>
        </is>
      </c>
      <c r="C5" s="2" t="inlineStr">
        <is>
          <t>Consentimiento firmado</t>
        </is>
      </c>
      <c r="D5" s="2" t="inlineStr">
        <is>
          <t>Foto válida sin rostro</t>
        </is>
      </c>
      <c r="E5" s="2" t="inlineStr">
        <is>
          <t>Archivo de consentimiento</t>
        </is>
      </c>
      <c r="F5" s="2" t="inlineStr">
        <is>
          <t>Archivo de fotografía</t>
        </is>
      </c>
      <c r="G5" s="2" t="inlineStr">
        <is>
          <t>Observación de privacidad</t>
        </is>
      </c>
      <c r="H5" s="2" t="inlineStr">
        <is>
          <t>Estado de sesión</t>
        </is>
      </c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 ht="48" customHeight="1">
      <c r="A6" s="5" t="inlineStr">
        <is>
          <t>P01</t>
        </is>
      </c>
      <c r="B6" s="9" t="inlineStr">
        <is>
          <t>Sí</t>
        </is>
      </c>
      <c r="C6" s="9" t="inlineStr">
        <is>
          <t>Sí</t>
        </is>
      </c>
      <c r="D6" s="9" t="inlineStr">
        <is>
          <t>Sí</t>
        </is>
      </c>
      <c r="E6" s="9" t="inlineStr">
        <is>
          <t>P01_consentimiento.pdf</t>
        </is>
      </c>
      <c r="F6" s="9" t="inlineStr">
        <is>
          <t>P01_evidencia_01.jpg</t>
        </is>
      </c>
      <c r="G6" s="9" t="inlineStr">
        <is>
          <t>Sin rostro, únicamente la fotografía y el audio para transcribir las notas necesarias para el estudio.</t>
        </is>
      </c>
      <c r="H6" s="5">
        <f>IF(AND(B6="Sí",C6="Sí",D6="Sí",COUNTIF(Registros!$B$6:$B$20,A6)=5,COUNTIFS(Registros!$B$6:$B$20,A6,Registros!$H$6:$H$20,"Éxito")+COUNTIFS(Registros!$B$6:$B$20,A6,Registros!$H$6:$H$20,"Fallo")=5),"Completa","Pendiente")</f>
        <v/>
      </c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 ht="48" customHeight="1">
      <c r="A7" s="5" t="inlineStr">
        <is>
          <t>P02</t>
        </is>
      </c>
      <c r="B7" s="9" t="inlineStr">
        <is>
          <t>Sí</t>
        </is>
      </c>
      <c r="C7" s="9" t="inlineStr">
        <is>
          <t>Sí</t>
        </is>
      </c>
      <c r="D7" s="9" t="inlineStr">
        <is>
          <t>Sí</t>
        </is>
      </c>
      <c r="E7" s="9" t="inlineStr">
        <is>
          <t>P02_consentimiento.pdf</t>
        </is>
      </c>
      <c r="F7" s="9" t="inlineStr">
        <is>
          <t>P02_evidencia_01.jpg</t>
        </is>
      </c>
      <c r="G7" s="9" t="inlineStr">
        <is>
          <t>Sin rostro, únicamente la fotografía y el audio para transcribir las notas necesarias para el estudio.</t>
        </is>
      </c>
      <c r="H7" s="5">
        <f>IF(AND(B7="Sí",C7="Sí",D7="Sí",COUNTIF(Registros!$B$6:$B$20,A7)=5,COUNTIFS(Registros!$B$6:$B$20,A7,Registros!$H$6:$H$20,"Éxito")+COUNTIFS(Registros!$B$6:$B$20,A7,Registros!$H$6:$H$20,"Fallo")=5),"Completa","Pendiente")</f>
        <v/>
      </c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 ht="48" customHeight="1">
      <c r="A8" s="5" t="inlineStr">
        <is>
          <t>P03</t>
        </is>
      </c>
      <c r="B8" s="9" t="inlineStr">
        <is>
          <t>Sí</t>
        </is>
      </c>
      <c r="C8" s="9" t="inlineStr">
        <is>
          <t>Sí</t>
        </is>
      </c>
      <c r="D8" s="9" t="inlineStr">
        <is>
          <t>Sí</t>
        </is>
      </c>
      <c r="E8" s="9" t="inlineStr">
        <is>
          <t>P03_consentimiento.pdf</t>
        </is>
      </c>
      <c r="F8" s="9" t="inlineStr">
        <is>
          <t>P03_evidencia_01.jpg</t>
        </is>
      </c>
      <c r="G8" s="9" t="inlineStr">
        <is>
          <t>Sin rostro, únicamente la fotografía y el audio para transcribir las notas necesarias para el estudio.</t>
        </is>
      </c>
      <c r="H8" s="5">
        <f>IF(AND(B8="Sí",C8="Sí",D8="Sí",COUNTIF(Registros!$B$6:$B$20,A8)=5,COUNTIFS(Registros!$B$6:$B$20,A8,Registros!$H$6:$H$20,"Éxito")+COUNTIFS(Registros!$B$6:$B$20,A8,Registros!$H$6:$H$20,"Fallo")=5),"Completa","Pendiente")</f>
        <v/>
      </c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 ht="22" customHeight="1">
      <c r="A11" s="16" t="inlineStr">
        <is>
          <t>Checklist de fotografía</t>
        </is>
      </c>
      <c r="B11" s="22" t="n"/>
      <c r="C11" s="22" t="n"/>
      <c r="D11" s="22" t="n"/>
      <c r="E11" s="22" t="n"/>
      <c r="F11" s="22" t="n"/>
      <c r="G11" s="22" t="n"/>
      <c r="H11" s="23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 ht="34" customHeight="1">
      <c r="A12" s="2" t="inlineStr">
        <is>
          <t>Control</t>
        </is>
      </c>
      <c r="B12" s="2" t="inlineStr">
        <is>
          <t>Verificación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 ht="25" customHeight="1">
      <c r="A13" s="5" t="inlineStr">
        <is>
          <t>Rostro fuera del encuadre</t>
        </is>
      </c>
      <c r="B13" s="17" t="inlineStr">
        <is>
          <t>Sí</t>
        </is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 ht="37.5" customHeight="1">
      <c r="A14" s="5" t="inlineStr">
        <is>
          <t>Correo y contraseña no visibles</t>
        </is>
      </c>
      <c r="B14" s="17" t="inlineStr">
        <is>
          <t>Sí</t>
        </is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 ht="37.5" customHeight="1">
      <c r="A15" s="5" t="inlineStr">
        <is>
          <t>Sin otras aplicaciones o mensajes</t>
        </is>
      </c>
      <c r="B15" s="17" t="inlineStr">
        <is>
          <t>Sí</t>
        </is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 ht="25" customHeight="1">
      <c r="A16" s="5" t="inlineStr">
        <is>
          <t>Nombre de archivo correcto</t>
        </is>
      </c>
      <c r="B16" s="17" t="inlineStr">
        <is>
          <t>Sí</t>
        </is>
      </c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 ht="37.5" customHeight="1">
      <c r="A17" s="5" t="inlineStr">
        <is>
          <t>Autorización confirmada al finalizar</t>
        </is>
      </c>
      <c r="B17" s="17" t="inlineStr">
        <is>
          <t>Sí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</sheetData>
  <mergeCells count="3">
    <mergeCell ref="A2:H2"/>
    <mergeCell ref="A3:H3"/>
    <mergeCell ref="A11:H11"/>
  </mergeCells>
  <conditionalFormatting sqref="H6:H8">
    <cfRule type="containsText" priority="1" operator="containsText" dxfId="1" text="Completa"/>
    <cfRule type="containsText" priority="2" operator="containsText" dxfId="0" text="Pendiente"/>
  </conditionalFormatting>
  <dataValidations count="1">
    <dataValidation sqref="B6:D8 B13:B17" showDropDown="0" showInputMessage="0" showErrorMessage="0" allowBlank="0" type="list">
      <formula1>"Sí,No"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A5A5A5"/>
    <outlinePr summaryBelow="1" summaryRight="1"/>
    <pageSetUpPr/>
  </sheetPr>
  <dimension ref="A1:Z100"/>
  <sheetViews>
    <sheetView showGridLines="0" workbookViewId="0">
      <pane ySplit="5" topLeftCell="A6" activePane="bottomLeft" state="frozen"/>
      <selection pane="bottomLeft" activeCell="C6" sqref="C6"/>
    </sheetView>
  </sheetViews>
  <sheetFormatPr baseColWidth="10" defaultColWidth="8.6640625" defaultRowHeight="14"/>
  <cols>
    <col width="10" customWidth="1" min="1" max="2"/>
    <col width="29" customWidth="1" min="3" max="4"/>
    <col width="13" customWidth="1" min="5" max="5"/>
    <col width="24" customWidth="1" min="6" max="6"/>
    <col width="13" customWidth="1" min="7" max="7"/>
    <col width="30" customWidth="1" min="8" max="8"/>
    <col width="18" customWidth="1" min="9" max="9"/>
    <col width="14" customWidth="1" min="10" max="10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6" customHeight="1">
      <c r="A2" s="13" t="inlineStr">
        <is>
          <t>Plantilla de hallazgos de usabilidad</t>
        </is>
      </c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15" t="inlineStr">
        <is>
          <t>Consolida patrones después de completar las tres sesiones. Cita IDs de registro como P01-F2; no inventes frecuencia.</t>
        </is>
      </c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 ht="34" customHeight="1">
      <c r="A5" s="2" t="inlineStr">
        <is>
          <t>ID</t>
        </is>
      </c>
      <c r="B5" s="2" t="inlineStr">
        <is>
          <t>Tarea</t>
        </is>
      </c>
      <c r="C5" s="2" t="inlineStr">
        <is>
          <t>Punto de fricción</t>
        </is>
      </c>
      <c r="D5" s="2" t="inlineStr">
        <is>
          <t>Evidencia e IDs</t>
        </is>
      </c>
      <c r="E5" s="2" t="inlineStr">
        <is>
          <t>Frecuencia</t>
        </is>
      </c>
      <c r="F5" s="2" t="inlineStr">
        <is>
          <t>Impacto</t>
        </is>
      </c>
      <c r="G5" s="2" t="inlineStr">
        <is>
          <t>Severidad</t>
        </is>
      </c>
      <c r="H5" s="2" t="inlineStr">
        <is>
          <t>Recomendación</t>
        </is>
      </c>
      <c r="I5" s="2" t="inlineStr">
        <is>
          <t>Responsable</t>
        </is>
      </c>
      <c r="J5" s="2" t="inlineStr">
        <is>
          <t>Estado</t>
        </is>
      </c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 ht="52" customHeight="1">
      <c r="A6" s="25" t="inlineStr">
        <is>
          <t>1</t>
        </is>
      </c>
      <c r="B6" s="26" t="inlineStr">
        <is>
          <t>F3</t>
        </is>
      </c>
      <c r="C6" s="26" t="inlineStr">
        <is>
          <t>Punto de venta no localizable: buscan «ventas» y la acción es un botón «Vender» de bajo peso en el pie de la tarjeta de Inventario</t>
        </is>
      </c>
      <c r="D6" s="26" t="inlineStr">
        <is>
          <t>P02-F3 (fallo, 3:20 = 111 %); P01-F3; P03-F3</t>
        </is>
      </c>
      <c r="E6" s="26" t="inlineStr">
        <is>
          <t>3/3</t>
        </is>
      </c>
      <c r="F6" s="26" t="inlineStr">
        <is>
          <t>Impidió completar (P02) y retrasó la búsqueda en P01 y P03</t>
        </is>
      </c>
      <c r="G6" s="26" t="inlineStr">
        <is>
          <t>Alta</t>
        </is>
      </c>
      <c r="H6" s="26" t="inlineStr">
        <is>
          <t>Acceso de venta en la navegación con vocabulario del usuario; «Vender» como acción principal de la tarjeta; panel de venta visible antes del primer producto. Sprint recomendado: 9</t>
        </is>
      </c>
      <c r="I6" s="26" t="inlineStr">
        <is>
          <t>Por asignar</t>
        </is>
      </c>
      <c r="J6" s="26" t="inlineStr">
        <is>
          <t>Priorizado</t>
        </is>
      </c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 ht="52" customHeight="1">
      <c r="A7" s="25" t="inlineStr">
        <is>
          <t>2</t>
        </is>
      </c>
      <c r="B7" s="26" t="inlineStr">
        <is>
          <t>F4</t>
        </is>
      </c>
      <c r="C7" s="26" t="inlineStr">
        <is>
          <t>Opciones de proyecto y formato ilegibles sin pasar el cursor (causa probable: selectores sin fondo explícito de opción; reproducir antes de corregir)</t>
        </is>
      </c>
      <c r="D7" s="26" t="inlineStr">
        <is>
          <t>P01-F4; P02-F4 (3:00 = 100 %); P03-F4 (2:54 = 97 %)</t>
        </is>
      </c>
      <c r="E7" s="26" t="inlineStr">
        <is>
          <t>3/3</t>
        </is>
      </c>
      <c r="F7" s="26" t="inlineStr">
        <is>
          <t>Retrasó: F4 con media al 89 % del máximo</t>
        </is>
      </c>
      <c r="G7" s="26" t="inlineStr">
        <is>
          <t>Media</t>
        </is>
      </c>
      <c r="H7" s="26" t="inlineStr">
        <is>
          <t>Fondo y texto explícitos en las opciones de los selectores de marketing y proveedores; contraste AA. Sprint recomendado: 9</t>
        </is>
      </c>
      <c r="I7" s="26" t="inlineStr">
        <is>
          <t>Por asignar</t>
        </is>
      </c>
      <c r="J7" s="26" t="inlineStr">
        <is>
          <t>Priorizado</t>
        </is>
      </c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 ht="52" customHeight="1">
      <c r="A8" s="25" t="inlineStr">
        <is>
          <t>3</t>
        </is>
      </c>
      <c r="B8" s="26" t="inlineStr">
        <is>
          <t>F3</t>
        </is>
      </c>
      <c r="C8" s="26" t="inlineStr">
        <is>
          <t>Confirmación de venta no percibida y término «Stock» no comprendido</t>
        </is>
      </c>
      <c r="D8" s="26" t="inlineStr">
        <is>
          <t>P02-F3 (fallo)</t>
        </is>
      </c>
      <c r="E8" s="26" t="inlineStr">
        <is>
          <t>1/3</t>
        </is>
      </c>
      <c r="F8" s="26" t="inlineStr">
        <is>
          <t>Contribuyó al fallo de P02</t>
        </is>
      </c>
      <c r="G8" s="26" t="inlineStr">
        <is>
          <t>Alta</t>
        </is>
      </c>
      <c r="H8" s="26" t="inlineStr">
        <is>
          <t>Confirmación visible junto a «Realizar venta»; rótulo de existencias en lenguaje llano. Sprint recomendado: 10</t>
        </is>
      </c>
      <c r="I8" s="26" t="inlineStr">
        <is>
          <t>Por asignar</t>
        </is>
      </c>
      <c r="J8" s="26" t="inlineStr">
        <is>
          <t>Nuevo</t>
        </is>
      </c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 ht="52" customHeight="1">
      <c r="A9" s="25" t="inlineStr">
        <is>
          <t>4</t>
        </is>
      </c>
      <c r="B9" s="26" t="inlineStr">
        <is>
          <t>F1</t>
        </is>
      </c>
      <c r="C9" s="26" t="inlineStr">
        <is>
          <t>Oprimió «Cancelar» en lugar de «Guardar» y perdió los datos</t>
        </is>
      </c>
      <c r="D9" s="26" t="inlineStr">
        <is>
          <t>P01-F1 (2:38 = 88 %)</t>
        </is>
      </c>
      <c r="E9" s="26" t="inlineStr">
        <is>
          <t>1/3</t>
        </is>
      </c>
      <c r="F9" s="26" t="inlineStr">
        <is>
          <t>Retrasó: repitió el alta</t>
        </is>
      </c>
      <c r="G9" s="26" t="inlineStr">
        <is>
          <t>Media</t>
        </is>
      </c>
      <c r="H9" s="26" t="inlineStr">
        <is>
          <t>«Guardar» como acción de mayor peso; confirmación al cancelar con datos. Sprint recomendado: 10</t>
        </is>
      </c>
      <c r="I9" s="26" t="inlineStr">
        <is>
          <t>Por asignar</t>
        </is>
      </c>
      <c r="J9" s="26" t="inlineStr">
        <is>
          <t>Nuevo</t>
        </is>
      </c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 ht="52" customHeight="1">
      <c r="A10" s="25" t="inlineStr">
        <is>
          <t>5</t>
        </is>
      </c>
      <c r="B10" s="26" t="inlineStr">
        <is>
          <t>F4</t>
        </is>
      </c>
      <c r="C10" s="26" t="inlineStr">
        <is>
          <t>Programó el borrador existente en lugar de crear una publicación nueva</t>
        </is>
      </c>
      <c r="D10" s="26" t="inlineStr">
        <is>
          <t>P03-F4 (2:54 = 97 %)</t>
        </is>
      </c>
      <c r="E10" s="26" t="inlineStr">
        <is>
          <t>1/3</t>
        </is>
      </c>
      <c r="F10" s="26" t="inlineStr">
        <is>
          <t>Retrasó</t>
        </is>
      </c>
      <c r="G10" s="26" t="inlineStr">
        <is>
          <t>Media</t>
        </is>
      </c>
      <c r="H10" s="26" t="inlineStr">
        <is>
          <t>«Nueva publicación» como acción de mayor jerarquía de la vista. Sprint recomendado: 10</t>
        </is>
      </c>
      <c r="I10" s="26" t="inlineStr">
        <is>
          <t>Por asignar</t>
        </is>
      </c>
      <c r="J10" s="26" t="inlineStr">
        <is>
          <t>Nuevo</t>
        </is>
      </c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 ht="52" customHeight="1">
      <c r="A11" s="25" t="inlineStr">
        <is>
          <t>6</t>
        </is>
      </c>
      <c r="B11" s="26" t="inlineStr">
        <is>
          <t>F2</t>
        </is>
      </c>
      <c r="C11" s="26" t="inlineStr">
        <is>
          <t>Vinculación de proveedor en la ficha del producto, lugar no esperado; sección en inglés fijo</t>
        </is>
      </c>
      <c r="D11" s="26" t="inlineStr">
        <is>
          <t>P01-F2; P02-F2; P03-F2 (máx. 67 %)</t>
        </is>
      </c>
      <c r="E11" s="26" t="inlineStr">
        <is>
          <t>3/3</t>
        </is>
      </c>
      <c r="F11" s="26" t="inlineStr">
        <is>
          <t>Molestia sin retraso medible</t>
        </is>
      </c>
      <c r="G11" s="26" t="inlineStr">
        <is>
          <t>Baja</t>
        </is>
      </c>
      <c r="H11" s="26" t="inlineStr">
        <is>
          <t>Acción visible para abrir la ficha desde la tarjeta; sección traducida; acceso desde Proveedores. Sprint recomendado: 10</t>
        </is>
      </c>
      <c r="I11" s="26" t="inlineStr">
        <is>
          <t>Por asignar</t>
        </is>
      </c>
      <c r="J11" s="26" t="inlineStr">
        <is>
          <t>Nuevo</t>
        </is>
      </c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 ht="52" customHeight="1">
      <c r="A12" s="25" t="inlineStr">
        <is>
          <t>7</t>
        </is>
      </c>
      <c r="B12" s="26" t="inlineStr">
        <is>
          <t>F1</t>
        </is>
      </c>
      <c r="C12" s="26" t="inlineStr">
        <is>
          <t>No se ubica el acceso para dar de alta un producto</t>
        </is>
      </c>
      <c r="D12" s="26" t="inlineStr">
        <is>
          <t>P02-F1 (79 %); P03-F1 (50 %)</t>
        </is>
      </c>
      <c r="E12" s="26" t="inlineStr">
        <is>
          <t>2/3</t>
        </is>
      </c>
      <c r="F12" s="26" t="inlineStr">
        <is>
          <t>Molestia sin retraso medible</t>
        </is>
      </c>
      <c r="G12" s="26" t="inlineStr">
        <is>
          <t>Baja</t>
        </is>
      </c>
      <c r="H12" s="26" t="inlineStr">
        <is>
          <t>Acceso directo a «Nuevo producto» desde el dashboard; navegación que mencione productos. Sprint recomendado: 10</t>
        </is>
      </c>
      <c r="I12" s="26" t="inlineStr">
        <is>
          <t>Por asignar</t>
        </is>
      </c>
      <c r="J12" s="26" t="inlineStr">
        <is>
          <t>Nuevo</t>
        </is>
      </c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 ht="52" customHeight="1">
      <c r="A13" s="25" t="inlineStr">
        <is>
          <t>8</t>
        </is>
      </c>
      <c r="B13" s="26" t="inlineStr">
        <is>
          <t>F5</t>
        </is>
      </c>
      <c r="C13" s="26" t="inlineStr">
        <is>
          <t>Control de filtro por estado poco visible (sin rótulo visible)</t>
        </is>
      </c>
      <c r="D13" s="26" t="inlineStr">
        <is>
          <t>P01-F5; P02-F5 (63 %)</t>
        </is>
      </c>
      <c r="E13" s="26" t="inlineStr">
        <is>
          <t>2/3</t>
        </is>
      </c>
      <c r="F13" s="26" t="inlineStr">
        <is>
          <t>Molestia sin retraso medible</t>
        </is>
      </c>
      <c r="G13" s="26" t="inlineStr">
        <is>
          <t>Baja</t>
        </is>
      </c>
      <c r="H13" s="26" t="inlineStr">
        <is>
          <t>Rótulos visibles en los filtros de publicaciones. Sprint recomendado: 10</t>
        </is>
      </c>
      <c r="I13" s="26" t="inlineStr">
        <is>
          <t>Por asignar</t>
        </is>
      </c>
      <c r="J13" s="26" t="inlineStr">
        <is>
          <t>Nuevo</t>
        </is>
      </c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 ht="52" customHeight="1">
      <c r="A14" s="25" t="inlineStr">
        <is>
          <t>9</t>
        </is>
      </c>
      <c r="B14" s="26" t="inlineStr">
        <is>
          <t>F3</t>
        </is>
      </c>
      <c r="C14" s="26" t="inlineStr">
        <is>
          <t>Contraste bajo de texto sobre el fondo en el punto de venta</t>
        </is>
      </c>
      <c r="D14" s="26" t="inlineStr">
        <is>
          <t>P01-F3 (nota del anotador)</t>
        </is>
      </c>
      <c r="E14" s="26" t="inlineStr">
        <is>
          <t>1/3</t>
        </is>
      </c>
      <c r="F14" s="26" t="inlineStr">
        <is>
          <t>Molestia sin retraso medible</t>
        </is>
      </c>
      <c r="G14" s="26" t="inlineStr">
        <is>
          <t>Baja</t>
        </is>
      </c>
      <c r="H14" s="26" t="inlineStr">
        <is>
          <t>Auditoría de contraste AA de los textos secundarios de la tarjeta. Sprint recomendado: 10</t>
        </is>
      </c>
      <c r="I14" s="26" t="inlineStr">
        <is>
          <t>Por asignar</t>
        </is>
      </c>
      <c r="J14" s="26" t="inlineStr">
        <is>
          <t>Nuevo</t>
        </is>
      </c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 ht="52" customHeight="1">
      <c r="A15" s="25" t="inlineStr">
        <is>
          <t>Error</t>
        </is>
      </c>
      <c r="B15" s="26" t="inlineStr">
        <is>
          <t>F4</t>
        </is>
      </c>
      <c r="C15" s="26" t="inlineStr">
        <is>
          <t>Defecto funcional: la hora programada se guarda/muestra desplazada −6 h (10:00 → 4:00)</t>
        </is>
      </c>
      <c r="D15" s="26" t="inlineStr">
        <is>
          <t>P01-F4 (confirmado por el anotador); afecta a toda publicación programada</t>
        </is>
      </c>
      <c r="E15" s="26" t="inlineStr">
        <is>
          <t>Sistémico</t>
        </is>
      </c>
      <c r="F15" s="26" t="inlineStr">
        <is>
          <t>Dato incorrecto; fuera del criterio de usabilidad</t>
        </is>
      </c>
      <c r="G15" s="26" t="inlineStr">
        <is>
          <t>Alta</t>
        </is>
      </c>
      <c r="H15" s="26" t="inlineStr">
        <is>
          <t>Corregir manejo de zona horaria de scheduled_for (timestamp sin zona + node-pg en UTC). Bug, Sprint recomendado: 9</t>
        </is>
      </c>
      <c r="I15" s="26" t="inlineStr">
        <is>
          <t>Por asignar</t>
        </is>
      </c>
      <c r="J15" s="26" t="inlineStr">
        <is>
          <t>Priorizado</t>
        </is>
      </c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</sheetData>
  <mergeCells count="2">
    <mergeCell ref="A3:J3"/>
    <mergeCell ref="A2:J2"/>
  </mergeCells>
  <dataValidations count="3">
    <dataValidation sqref="B6:B15" showDropDown="0" showInputMessage="0" showErrorMessage="0" allowBlank="0" type="list">
      <formula1>"F1,F2,F3,F4,F5,Transversal"</formula1>
    </dataValidation>
    <dataValidation sqref="G6:G15" showDropDown="0" showInputMessage="0" showErrorMessage="0" allowBlank="0" type="list">
      <formula1>"Baja,Media,Alta,Crítica"</formula1>
    </dataValidation>
    <dataValidation sqref="J6:J15" showDropDown="0" showInputMessage="0" showErrorMessage="0" allowBlank="0" type="list">
      <formula1>"Nuevo,Priorizado,Descartado,Resuelto"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2026-09-28T15:07:58Z</dcterms:created>
  <dcterms:modified xmlns:dcterms="http://purl.org/dc/terms/" xmlns:xsi="http://www.w3.org/2001/XMLSchema-instance" xsi:type="dcterms:W3CDTF">2026-09-28T17:05:48Z</dcterms:modified>
  <cp:lastModifiedBy>Alejandra Avilés</cp:lastModifiedBy>
</cp:coreProperties>
</file>