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ontrol\docs\"/>
    </mc:Choice>
  </mc:AlternateContent>
  <xr:revisionPtr revIDLastSave="0" documentId="13_ncr:1_{6D89A05D-3839-4224-ADDC-1CB12CA2A95D}" xr6:coauthVersionLast="47" xr6:coauthVersionMax="47" xr10:uidLastSave="{00000000-0000-0000-0000-000000000000}"/>
  <bookViews>
    <workbookView xWindow="3120" yWindow="3120" windowWidth="21600" windowHeight="11385" activeTab="1" xr2:uid="{00000000-000D-0000-FFFF-FFFF00000000}"/>
  </bookViews>
  <sheets>
    <sheet name="Calculo" sheetId="1" r:id="rId1"/>
    <sheet name="Tareas S9" sheetId="2" r:id="rId2"/>
    <sheet name="Serie" sheetId="3" r:id="rId3"/>
    <sheet name="Texto" sheetId="4" r:id="rId4"/>
    <sheet name="LOGT Vásquez" sheetId="5" r:id="rId5"/>
    <sheet name="LOGT Tubac" sheetId="6" r:id="rId6"/>
    <sheet name="LOGT Montenegro" sheetId="7" r:id="rId7"/>
    <sheet name="LOGT Avilés" sheetId="8" r:id="rId8"/>
    <sheet name="LOGT Figuero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E12" i="9"/>
  <c r="E11" i="9"/>
  <c r="E10" i="9"/>
  <c r="E9" i="9"/>
  <c r="E13" i="9" s="1"/>
  <c r="E14" i="9" s="1"/>
  <c r="D15" i="8"/>
  <c r="E14" i="8"/>
  <c r="E13" i="8"/>
  <c r="E12" i="8"/>
  <c r="E11" i="8"/>
  <c r="E15" i="8" s="1"/>
  <c r="E16" i="8" s="1"/>
  <c r="E10" i="8"/>
  <c r="E9" i="8"/>
  <c r="D15" i="7"/>
  <c r="E14" i="7"/>
  <c r="E13" i="7"/>
  <c r="E12" i="7"/>
  <c r="E11" i="7"/>
  <c r="E10" i="7"/>
  <c r="E9" i="7"/>
  <c r="E15" i="7" s="1"/>
  <c r="E16" i="7" s="1"/>
  <c r="D16" i="6"/>
  <c r="E15" i="6"/>
  <c r="E14" i="6"/>
  <c r="E13" i="6"/>
  <c r="E12" i="6"/>
  <c r="E11" i="6"/>
  <c r="E10" i="6"/>
  <c r="E9" i="6"/>
  <c r="E16" i="6" s="1"/>
  <c r="E17" i="6" s="1"/>
  <c r="D16" i="5"/>
  <c r="E15" i="5"/>
  <c r="E14" i="5"/>
  <c r="E13" i="5"/>
  <c r="E12" i="5"/>
  <c r="E11" i="5"/>
  <c r="E16" i="5" s="1"/>
  <c r="E17" i="5" s="1"/>
  <c r="E10" i="5"/>
  <c r="E9" i="5"/>
  <c r="F6" i="3"/>
  <c r="E6" i="3"/>
  <c r="C6" i="3"/>
  <c r="D6" i="3" s="1"/>
  <c r="B6" i="3"/>
  <c r="F5" i="3"/>
  <c r="D5" i="3"/>
  <c r="D4" i="3"/>
  <c r="E16" i="2"/>
  <c r="D16" i="2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C16" i="1" s="1"/>
  <c r="E16" i="1" s="1"/>
  <c r="F6" i="2"/>
  <c r="G6" i="2" s="1"/>
  <c r="F5" i="2"/>
  <c r="G5" i="2" s="1"/>
  <c r="F4" i="2"/>
  <c r="F16" i="2" s="1"/>
  <c r="B34" i="1"/>
  <c r="B31" i="1"/>
  <c r="B30" i="1"/>
  <c r="B29" i="1"/>
  <c r="B28" i="1"/>
  <c r="B32" i="1" s="1"/>
  <c r="B25" i="1"/>
  <c r="B27" i="1" s="1"/>
  <c r="G16" i="1" l="1"/>
  <c r="F16" i="1"/>
  <c r="B33" i="1"/>
  <c r="C19" i="1"/>
  <c r="E19" i="1" s="1"/>
  <c r="G7" i="2"/>
  <c r="C17" i="1"/>
  <c r="E17" i="1" s="1"/>
  <c r="B26" i="1"/>
  <c r="C15" i="1"/>
  <c r="G4" i="2"/>
  <c r="G16" i="2" s="1"/>
  <c r="C18" i="1"/>
  <c r="E18" i="1" s="1"/>
  <c r="C20" i="1" l="1"/>
  <c r="E15" i="1"/>
  <c r="G17" i="1"/>
  <c r="F17" i="1"/>
  <c r="F18" i="1"/>
  <c r="G18" i="1"/>
  <c r="G19" i="1"/>
  <c r="F19" i="1"/>
  <c r="D16" i="1" l="1"/>
  <c r="D18" i="1"/>
  <c r="B7" i="3"/>
  <c r="D15" i="1"/>
  <c r="D17" i="1"/>
  <c r="D19" i="1"/>
  <c r="C25" i="1"/>
  <c r="E20" i="1"/>
  <c r="B20" i="1" s="1"/>
  <c r="G15" i="1"/>
  <c r="G20" i="1" s="1"/>
  <c r="C30" i="1" s="1"/>
  <c r="F15" i="1"/>
  <c r="F20" i="1" s="1"/>
  <c r="C31" i="1" l="1"/>
  <c r="D31" i="1" s="1"/>
  <c r="D30" i="1"/>
  <c r="C28" i="1"/>
  <c r="C7" i="3"/>
  <c r="D7" i="3" s="1"/>
  <c r="C27" i="1"/>
  <c r="D27" i="1" s="1"/>
  <c r="D25" i="1"/>
  <c r="C26" i="1"/>
  <c r="C33" i="1"/>
  <c r="D33" i="1" s="1"/>
  <c r="D20" i="1"/>
  <c r="D26" i="1" l="1"/>
  <c r="A3" i="4" s="1"/>
  <c r="D28" i="1"/>
  <c r="C32" i="1"/>
  <c r="D32" i="1" s="1"/>
  <c r="C34" i="1"/>
  <c r="D34" i="1" s="1"/>
  <c r="E7" i="3"/>
  <c r="F7" i="3" s="1"/>
  <c r="C29" i="1"/>
  <c r="A11" i="4"/>
  <c r="D29" i="1" l="1"/>
  <c r="A5" i="4" s="1"/>
  <c r="A7" i="4"/>
</calcChain>
</file>

<file path=xl/sharedStrings.xml><?xml version="1.0" encoding="utf-8"?>
<sst xmlns="http://schemas.openxmlformats.org/spreadsheetml/2006/main" count="314" uniqueCount="155">
  <si>
    <t>Ejecución del presupuesto y del tiempo · corte Sprint 9</t>
  </si>
  <si>
    <t>Línea base (SCRUM-11, SCRUM-24, SCRUM-36, SCRUM-57)</t>
  </si>
  <si>
    <t>Esfuerzo total estimado (H/H)</t>
  </si>
  <si>
    <t>SCRUM-11, Puntos de Casos de Uso</t>
  </si>
  <si>
    <t>Costo total estimado, K = 1.5</t>
  </si>
  <si>
    <t>SCRUM-11</t>
  </si>
  <si>
    <t>Costo total estimado, K = 2</t>
  </si>
  <si>
    <t>Factor K bajo</t>
  </si>
  <si>
    <t>Multiplica la tarifa horaria</t>
  </si>
  <si>
    <t>Factor K alto</t>
  </si>
  <si>
    <t>Peso de la actividad de implementación</t>
  </si>
  <si>
    <t>Métrica dual, SCRUM-24 y SCRUM-36</t>
  </si>
  <si>
    <t>Horas acumuladas al cierre del Sprint 8 (H/H)</t>
  </si>
  <si>
    <t>721.00 del S7 + horas del S8 (ejecucion-presupuesto-sprint8.xlsx)</t>
  </si>
  <si>
    <t>Monto ejecutado al cierre del Sprint 8, K = 1.5</t>
  </si>
  <si>
    <t>Q 48,701.70 del S7 + monto del S8 con K = 1.5</t>
  </si>
  <si>
    <t>Horas y monto del Sprint 9 por integrante</t>
  </si>
  <si>
    <t>Integrante</t>
  </si>
  <si>
    <t>Tarifa (Q/h)</t>
  </si>
  <si>
    <t>Horas del S9 (H/H)</t>
  </si>
  <si>
    <t>% de las horas del S9</t>
  </si>
  <si>
    <t>Monto base (Q)</t>
  </si>
  <si>
    <t>Monto K = 1.5 (Q)</t>
  </si>
  <si>
    <t>Monto K = 2 (Q)</t>
  </si>
  <si>
    <t>Pablo Vásquez</t>
  </si>
  <si>
    <t>Jonathan Tubac</t>
  </si>
  <si>
    <t>Juan Francisco Montenegro Aguirre</t>
  </si>
  <si>
    <t>Alejandra Sarai Avilés González</t>
  </si>
  <si>
    <t>Ivana Cristina Figueroa Diemek</t>
  </si>
  <si>
    <t>Total</t>
  </si>
  <si>
    <t>Resultados y variación respecto del corte del Sprint 8</t>
  </si>
  <si>
    <t>Indicador</t>
  </si>
  <si>
    <t>Corte Sprint 8</t>
  </si>
  <si>
    <t>Corte Sprint 9</t>
  </si>
  <si>
    <t>Variación</t>
  </si>
  <si>
    <t>Horas acumuladas (H/H)</t>
  </si>
  <si>
    <t>% del esfuerzo total (ciclo completo)</t>
  </si>
  <si>
    <t>% de la actividad de implementación (40 %)</t>
  </si>
  <si>
    <t>Monto ejecutado, K = 1.5</t>
  </si>
  <si>
    <t>% del costo total, K = 1.5</t>
  </si>
  <si>
    <t>Monto ejecutado, K = 2</t>
  </si>
  <si>
    <t>% del costo total, K = 2</t>
  </si>
  <si>
    <t>% del costo de implementación, K = 1.5</t>
  </si>
  <si>
    <t>Horas restantes del esfuerzo total (H/H)</t>
  </si>
  <si>
    <t>Saldo del presupuesto, K = 1.5</t>
  </si>
  <si>
    <t>Variación de los porcentajes en puntos porcentuales.</t>
  </si>
  <si>
    <t>Tareas del Sprint 9 en Jira (SCRUM Sprint 4) y horas registradas</t>
  </si>
  <si>
    <t>Clave</t>
  </si>
  <si>
    <t>Tarea</t>
  </si>
  <si>
    <t>Responsable</t>
  </si>
  <si>
    <t>SP</t>
  </si>
  <si>
    <t>Horas estimadas en Jira</t>
  </si>
  <si>
    <t>Horas en LOGT</t>
  </si>
  <si>
    <t>Diferencia</t>
  </si>
  <si>
    <t>Estado en Jira</t>
  </si>
  <si>
    <t>SCRUM-63</t>
  </si>
  <si>
    <t>UX-R3 · Contraste del texto secundario según WCAG AA</t>
  </si>
  <si>
    <t>Finalizado</t>
  </si>
  <si>
    <t>SCRUM-70</t>
  </si>
  <si>
    <t>G-1 · Regresión de pruebas de seguridad y volumen</t>
  </si>
  <si>
    <t>SCRUM-74</t>
  </si>
  <si>
    <t>G-7 · Automatización en CI de pruebas unitarias y de carga</t>
  </si>
  <si>
    <t>SCRUM-65</t>
  </si>
  <si>
    <t>UX-R5 · Controles reconocibles en Integraciones</t>
  </si>
  <si>
    <t>SCRUM-67</t>
  </si>
  <si>
    <t>DT-15 · Timeouts salientes, pool y verificación TLS</t>
  </si>
  <si>
    <t>SCRUM-72</t>
  </si>
  <si>
    <t>G-5 · Presupuesto y tiempo ejecutado al cierre del Sprint 9</t>
  </si>
  <si>
    <t>SCRUM-61</t>
  </si>
  <si>
    <t>UX-R1 · Internacionalización y persistencia del idioma</t>
  </si>
  <si>
    <t>SCRUM-71</t>
  </si>
  <si>
    <t>G-2 · Comparativa de pruebas no funcionales vs RNF y plan de refactorización</t>
  </si>
  <si>
    <t>SCRUM-64</t>
  </si>
  <si>
    <t>UX-R4 · Rediseño de la portada de la landing</t>
  </si>
  <si>
    <t>SCRUM-73</t>
  </si>
  <si>
    <t>G-6 · Demo del incremento a usuarios finales</t>
  </si>
  <si>
    <t>SCRUM-62</t>
  </si>
  <si>
    <t>UX-R2 · Navegación: Ventas y Configuración unificada</t>
  </si>
  <si>
    <t>SCRUM-68</t>
  </si>
  <si>
    <t>DT-10 · Endpoint agregado de presupuesto (elimina N+1)</t>
  </si>
  <si>
    <t>Las horas usadas salen de los LOGT; cuadran con la estimación de Jira de cada tarea, igual que en el corte del Sprint 8.</t>
  </si>
  <si>
    <t>Serie de cortes: horas y monto acumulados</t>
  </si>
  <si>
    <t>Corte</t>
  </si>
  <si>
    <t>Horas del periodo (H/H)</t>
  </si>
  <si>
    <t>% del esfuerzo total</t>
  </si>
  <si>
    <t>Monto acumulado K = 1.5</t>
  </si>
  <si>
    <t>% del costo K = 1.5</t>
  </si>
  <si>
    <t>Fuente</t>
  </si>
  <si>
    <t>Sprints 1 a 4</t>
  </si>
  <si>
    <t>No reportado por separado</t>
  </si>
  <si>
    <t>LOGT, reportado en SCRUM-24</t>
  </si>
  <si>
    <t>Sprints 5 a 7</t>
  </si>
  <si>
    <t>SCRUM-36</t>
  </si>
  <si>
    <t>Sprint 8</t>
  </si>
  <si>
    <t>SCRUM-57, ejecucion-presupuesto-sprint8.xlsx</t>
  </si>
  <si>
    <t>Sprint 9</t>
  </si>
  <si>
    <t>SCRUM-72, este libro</t>
  </si>
  <si>
    <t>El corte del Sprint 6 no se reportó por separado: SCRUM-36 consolidó los Sprints 6 y 7 en un solo corte.</t>
  </si>
  <si>
    <t>Texto para el informe</t>
  </si>
  <si>
    <t>Interpretación: el gasto no va adelantado respecto del avance funcional, va muy por detrás. El backlog funcional está prácticamente completo y los últimos sprints se dedican a pruebas no funcionales, deuda técnica y mejoras de usabilidad, mientras el porcentaje consumido sigue cerca del 12 %. La desviación no es un error de cálculo: el método de Karner está calibrado para el ciclo de vida profesional completo (análisis, diseño, implementación, pruebas, despliegue y gestión) y opera como cota superior. El porcentaje frente a la actividad de implementación es la lectura más cercana al trabajo realizado.</t>
  </si>
  <si>
    <t>Registro de tiempo (LOGT) · Sprint 9</t>
  </si>
  <si>
    <t>Carné</t>
  </si>
  <si>
    <t>24757</t>
  </si>
  <si>
    <t>Sprint</t>
  </si>
  <si>
    <t>Sprint 9 (Jira: SCRUM Sprint 4), 08/10/2026 – 13/10/2026</t>
  </si>
  <si>
    <t>Proyecto</t>
  </si>
  <si>
    <t>Kontrol</t>
  </si>
  <si>
    <t>Fecha</t>
  </si>
  <si>
    <t>Inicio</t>
  </si>
  <si>
    <t>Fin</t>
  </si>
  <si>
    <t>Interrupción (min)</t>
  </si>
  <si>
    <t>Δ Tiempo (min)</t>
  </si>
  <si>
    <t>Fase / actividad</t>
  </si>
  <si>
    <t>Tarea Jira</t>
  </si>
  <si>
    <t>Comentarios</t>
  </si>
  <si>
    <t>Planificación</t>
  </si>
  <si>
    <t>Auditoría de contraste de los tokens de texto contra las superficies</t>
  </si>
  <si>
    <t>Código</t>
  </si>
  <si>
    <t>Rampa de grises y texto secundario a WCAG AA, prueba de contraste de tokens</t>
  </si>
  <si>
    <t>Pruebas</t>
  </si>
  <si>
    <t>Escaneo ZAP posterior al hardening y chequeos dirigidos</t>
  </si>
  <si>
    <t>Corrida de regresión de volumen e inundación</t>
  </si>
  <si>
    <t>Perfil corto de k6 para CI, umbrales de cobertura y pruebas de frontend</t>
  </si>
  <si>
    <t>Documentación</t>
  </si>
  <si>
    <t>Comparativa de resultados de volumen y hallazgos abiertos</t>
  </si>
  <si>
    <t>Evidencia de la corrida en verde del pipeline</t>
  </si>
  <si>
    <t>Total en horas</t>
  </si>
  <si>
    <t>Nota: registro reconstruido a partir de las horas estimadas en Jira y de las fechas de los commits del sprint. Cada integrante debe revisarlo y ajustarlo a su tiempo real.</t>
  </si>
  <si>
    <t>24484</t>
  </si>
  <si>
    <t>Diseño</t>
  </si>
  <si>
    <t>Inventario de llamadas salientes y diseño de fetchWithTimeout</t>
  </si>
  <si>
    <t>fetchWithTimeout en las seis integraciones, pool y TLS de Postgres, pruebas</t>
  </si>
  <si>
    <t>Revisión de resultados de la Prueba 7 y propuesta de controles</t>
  </si>
  <si>
    <t>Etiqueta de pausa, peso visual de acciones, confirmación al eliminar</t>
  </si>
  <si>
    <t>Recolección de tareas y horas del sprint en Jira, armado de LOGT</t>
  </si>
  <si>
    <t>Cálculo de horas, monto y porcentajes del corte del Sprint 9</t>
  </si>
  <si>
    <t>Interpretación de la desviación y proyección al cierre</t>
  </si>
  <si>
    <t>Revisión de los resultados no funcionales previos y de SCRUM-56</t>
  </si>
  <si>
    <t>Matriz de RNF del diseño contra resultados medidos</t>
  </si>
  <si>
    <t>Carga y persistencia del idioma, selector visible en Configuración</t>
  </si>
  <si>
    <t>Traducción de pantallas, avisos de validación y landing en español</t>
  </si>
  <si>
    <t>Redacción de la comparativa por requisito</t>
  </si>
  <si>
    <t>Plan de refactorización derivado de la comparativa</t>
  </si>
  <si>
    <t>Propuesta de portada a partir de los hallazgos H-07 y H-13</t>
  </si>
  <si>
    <t>Maquetación de la portada y mensaje de producto</t>
  </si>
  <si>
    <t>Revisión</t>
  </si>
  <si>
    <t>Ajustes y revisión responsive de la portada</t>
  </si>
  <si>
    <t>Guion de la demo y selección de usuarios finales</t>
  </si>
  <si>
    <t>Reunión</t>
  </si>
  <si>
    <t>Demo del incremento a usuarios finales</t>
  </si>
  <si>
    <t>Consolidación de comentarios y evidencia</t>
  </si>
  <si>
    <t>Análisis del N+1 en loadOverview y diseño del endpoint agregado</t>
  </si>
  <si>
    <t>GET /api/budgets/summary, caché de 30 s, benchmark antes/después</t>
  </si>
  <si>
    <t>Sección Ventas y Configuración unificada</t>
  </si>
  <si>
    <t>Router, menú, Miembros, i18n y trazabilidad en el plan de 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</si>
</sst>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Q &quot;#,##0.00"/>
    <numFmt numFmtId="165" formatCode="0.0"/>
    <numFmt numFmtId="166" formatCode="dd/mm/yyyy"/>
    <numFmt numFmtId="167" formatCode="hh:mm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2" fillId="3" borderId="1" xfId="0" applyFont="1" applyFill="1" applyBorder="1"/>
    <xf numFmtId="0" fontId="4" fillId="0" borderId="0" xfId="0" applyFont="1"/>
    <xf numFmtId="4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vertical="top" wrapText="1"/>
    </xf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2" fillId="3" borderId="1" xfId="0" applyNumberFormat="1" applyFont="1" applyFill="1" applyBorder="1"/>
    <xf numFmtId="2" fontId="2" fillId="3" borderId="1" xfId="0" applyNumberFormat="1" applyFont="1" applyFill="1" applyBorder="1"/>
    <xf numFmtId="10" fontId="2" fillId="3" borderId="1" xfId="0" applyNumberFormat="1" applyFont="1" applyFill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20" workbookViewId="0"/>
  </sheetViews>
  <sheetFormatPr baseColWidth="10" defaultColWidth="9.140625" defaultRowHeight="15" x14ac:dyDescent="0.25"/>
  <cols>
    <col min="1" max="1" width="46" customWidth="1"/>
    <col min="2" max="4" width="18" customWidth="1"/>
    <col min="5" max="5" width="16" customWidth="1"/>
    <col min="6" max="7" width="18" customWidth="1"/>
  </cols>
  <sheetData>
    <row r="1" spans="1:7" ht="18.75" x14ac:dyDescent="0.3">
      <c r="A1" s="1" t="s">
        <v>0</v>
      </c>
    </row>
    <row r="3" spans="1:7" x14ac:dyDescent="0.25">
      <c r="A3" s="11" t="s">
        <v>1</v>
      </c>
    </row>
    <row r="4" spans="1:7" x14ac:dyDescent="0.25">
      <c r="A4" t="s">
        <v>2</v>
      </c>
      <c r="B4" s="12">
        <v>7613.67</v>
      </c>
      <c r="C4" t="s">
        <v>3</v>
      </c>
    </row>
    <row r="5" spans="1:7" x14ac:dyDescent="0.25">
      <c r="A5" t="s">
        <v>4</v>
      </c>
      <c r="B5" s="13">
        <v>511638.46</v>
      </c>
      <c r="C5" t="s">
        <v>5</v>
      </c>
    </row>
    <row r="6" spans="1:7" x14ac:dyDescent="0.25">
      <c r="A6" t="s">
        <v>6</v>
      </c>
      <c r="B6" s="13">
        <v>682184.62</v>
      </c>
      <c r="C6" t="s">
        <v>5</v>
      </c>
    </row>
    <row r="7" spans="1:7" x14ac:dyDescent="0.25">
      <c r="A7" t="s">
        <v>7</v>
      </c>
      <c r="B7" s="14">
        <v>1.5</v>
      </c>
      <c r="C7" t="s">
        <v>8</v>
      </c>
    </row>
    <row r="8" spans="1:7" x14ac:dyDescent="0.25">
      <c r="A8" t="s">
        <v>9</v>
      </c>
      <c r="B8" s="14">
        <v>2</v>
      </c>
      <c r="C8" t="s">
        <v>8</v>
      </c>
    </row>
    <row r="9" spans="1:7" x14ac:dyDescent="0.25">
      <c r="A9" t="s">
        <v>10</v>
      </c>
      <c r="B9" s="15">
        <v>0.4</v>
      </c>
      <c r="C9" t="s">
        <v>11</v>
      </c>
    </row>
    <row r="10" spans="1:7" x14ac:dyDescent="0.25">
      <c r="A10" t="s">
        <v>12</v>
      </c>
      <c r="B10" s="12">
        <v>811</v>
      </c>
      <c r="C10" t="s">
        <v>13</v>
      </c>
    </row>
    <row r="11" spans="1:7" x14ac:dyDescent="0.25">
      <c r="A11" t="s">
        <v>14</v>
      </c>
      <c r="B11" s="13">
        <v>54785.7</v>
      </c>
      <c r="C11" t="s">
        <v>15</v>
      </c>
    </row>
    <row r="13" spans="1:7" x14ac:dyDescent="0.25">
      <c r="A13" s="11" t="s">
        <v>16</v>
      </c>
    </row>
    <row r="14" spans="1:7" ht="30" x14ac:dyDescent="0.25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</row>
    <row r="15" spans="1:7" x14ac:dyDescent="0.25">
      <c r="A15" s="3" t="s">
        <v>24</v>
      </c>
      <c r="B15" s="9">
        <v>57</v>
      </c>
      <c r="C15" s="4">
        <f>SUMIF('Tareas S9'!$C$4:$C$15,A15,'Tareas S9'!$F$4:$F$15)</f>
        <v>19</v>
      </c>
      <c r="D15" s="8">
        <f>IF($C$20=0,0,C15/$C$20)</f>
        <v>0.21590909090909091</v>
      </c>
      <c r="E15" s="9">
        <f>C15*B15</f>
        <v>1083</v>
      </c>
      <c r="F15" s="9">
        <f>E15*$B$7</f>
        <v>1624.5</v>
      </c>
      <c r="G15" s="9">
        <f>E15*$B$8</f>
        <v>2166</v>
      </c>
    </row>
    <row r="16" spans="1:7" x14ac:dyDescent="0.25">
      <c r="A16" s="3" t="s">
        <v>25</v>
      </c>
      <c r="B16" s="9">
        <v>51</v>
      </c>
      <c r="C16" s="4">
        <f>SUMIF('Tareas S9'!$C$4:$C$15,A16,'Tareas S9'!$F$4:$F$15)</f>
        <v>18</v>
      </c>
      <c r="D16" s="8">
        <f>IF($C$20=0,0,C16/$C$20)</f>
        <v>0.20454545454545456</v>
      </c>
      <c r="E16" s="9">
        <f>C16*B16</f>
        <v>918</v>
      </c>
      <c r="F16" s="9">
        <f>E16*$B$7</f>
        <v>1377</v>
      </c>
      <c r="G16" s="9">
        <f>E16*$B$8</f>
        <v>1836</v>
      </c>
    </row>
    <row r="17" spans="1:7" x14ac:dyDescent="0.25">
      <c r="A17" s="3" t="s">
        <v>26</v>
      </c>
      <c r="B17" s="9">
        <v>46</v>
      </c>
      <c r="C17" s="4">
        <f>SUMIF('Tareas S9'!$C$4:$C$15,A17,'Tareas S9'!$F$4:$F$15)</f>
        <v>23</v>
      </c>
      <c r="D17" s="8">
        <f>IF($C$20=0,0,C17/$C$20)</f>
        <v>0.26136363636363635</v>
      </c>
      <c r="E17" s="9">
        <f>C17*B17</f>
        <v>1058</v>
      </c>
      <c r="F17" s="9">
        <f>E17*$B$7</f>
        <v>1587</v>
      </c>
      <c r="G17" s="9">
        <f>E17*$B$8</f>
        <v>2116</v>
      </c>
    </row>
    <row r="18" spans="1:7" x14ac:dyDescent="0.25">
      <c r="A18" s="3" t="s">
        <v>27</v>
      </c>
      <c r="B18" s="9">
        <v>36</v>
      </c>
      <c r="C18" s="4">
        <f>SUMIF('Tareas S9'!$C$4:$C$15,A18,'Tareas S9'!$F$4:$F$15)</f>
        <v>13</v>
      </c>
      <c r="D18" s="8">
        <f>IF($C$20=0,0,C18/$C$20)</f>
        <v>0.14772727272727273</v>
      </c>
      <c r="E18" s="9">
        <f>C18*B18</f>
        <v>468</v>
      </c>
      <c r="F18" s="9">
        <f>E18*$B$7</f>
        <v>702</v>
      </c>
      <c r="G18" s="9">
        <f>E18*$B$8</f>
        <v>936</v>
      </c>
    </row>
    <row r="19" spans="1:7" x14ac:dyDescent="0.25">
      <c r="A19" s="3" t="s">
        <v>28</v>
      </c>
      <c r="B19" s="9">
        <v>34</v>
      </c>
      <c r="C19" s="4">
        <f>SUMIF('Tareas S9'!$C$4:$C$15,A19,'Tareas S9'!$F$4:$F$15)</f>
        <v>15</v>
      </c>
      <c r="D19" s="8">
        <f>IF($C$20=0,0,C19/$C$20)</f>
        <v>0.17045454545454544</v>
      </c>
      <c r="E19" s="9">
        <f>C19*B19</f>
        <v>510</v>
      </c>
      <c r="F19" s="9">
        <f>E19*$B$7</f>
        <v>765</v>
      </c>
      <c r="G19" s="9">
        <f>E19*$B$8</f>
        <v>1020</v>
      </c>
    </row>
    <row r="20" spans="1:7" x14ac:dyDescent="0.25">
      <c r="A20" s="5" t="s">
        <v>29</v>
      </c>
      <c r="B20" s="16">
        <f>IF(C20=0,0,E20/C20)</f>
        <v>45.875</v>
      </c>
      <c r="C20" s="17">
        <f>SUM(C15:C19)</f>
        <v>88</v>
      </c>
      <c r="D20" s="18">
        <f>SUM(D15:D19)</f>
        <v>1</v>
      </c>
      <c r="E20" s="16">
        <f>SUM(E15:E19)</f>
        <v>4037</v>
      </c>
      <c r="F20" s="16">
        <f>SUM(F15:F19)</f>
        <v>6055.5</v>
      </c>
      <c r="G20" s="16">
        <f>SUM(G15:G19)</f>
        <v>8074</v>
      </c>
    </row>
    <row r="23" spans="1:7" x14ac:dyDescent="0.25">
      <c r="A23" s="11" t="s">
        <v>30</v>
      </c>
    </row>
    <row r="24" spans="1:7" x14ac:dyDescent="0.25">
      <c r="A24" s="2" t="s">
        <v>31</v>
      </c>
      <c r="B24" s="2" t="s">
        <v>32</v>
      </c>
      <c r="C24" s="2" t="s">
        <v>33</v>
      </c>
      <c r="D24" s="2" t="s">
        <v>34</v>
      </c>
    </row>
    <row r="25" spans="1:7" x14ac:dyDescent="0.25">
      <c r="A25" s="3" t="s">
        <v>35</v>
      </c>
      <c r="B25" s="7">
        <f>B10</f>
        <v>811</v>
      </c>
      <c r="C25" s="7">
        <f>B10+C20</f>
        <v>899</v>
      </c>
      <c r="D25" s="7">
        <f>C25-B25</f>
        <v>88</v>
      </c>
    </row>
    <row r="26" spans="1:7" x14ac:dyDescent="0.25">
      <c r="A26" s="3" t="s">
        <v>36</v>
      </c>
      <c r="B26" s="8">
        <f>B25/$B$4</f>
        <v>0.10651893239397031</v>
      </c>
      <c r="C26" s="8">
        <f>C25/$B$4</f>
        <v>0.11807709028628768</v>
      </c>
      <c r="D26" s="4">
        <f>(C26-B26)*100</f>
        <v>1.1558157892317373</v>
      </c>
    </row>
    <row r="27" spans="1:7" x14ac:dyDescent="0.25">
      <c r="A27" s="3" t="s">
        <v>37</v>
      </c>
      <c r="B27" s="8">
        <f>B25/($B$4*$B$9)</f>
        <v>0.26629733098492575</v>
      </c>
      <c r="C27" s="8">
        <f>C25/($B$4*$B$9)</f>
        <v>0.2951927257157192</v>
      </c>
      <c r="D27" s="4">
        <f>(C27-B27)*100</f>
        <v>2.8895394730793447</v>
      </c>
    </row>
    <row r="28" spans="1:7" x14ac:dyDescent="0.25">
      <c r="A28" s="3" t="s">
        <v>38</v>
      </c>
      <c r="B28" s="9">
        <f>B11</f>
        <v>54785.7</v>
      </c>
      <c r="C28" s="9">
        <f>B11+F20</f>
        <v>60841.2</v>
      </c>
      <c r="D28" s="9">
        <f>C28-B28</f>
        <v>6055.5</v>
      </c>
    </row>
    <row r="29" spans="1:7" x14ac:dyDescent="0.25">
      <c r="A29" s="3" t="s">
        <v>39</v>
      </c>
      <c r="B29" s="8">
        <f>B28/$B$5</f>
        <v>0.10707893226009631</v>
      </c>
      <c r="C29" s="8">
        <f>C28/$B$5</f>
        <v>0.11891443813664827</v>
      </c>
      <c r="D29" s="4">
        <f>(C29-B29)*100</f>
        <v>1.1835505876551966</v>
      </c>
    </row>
    <row r="30" spans="1:7" x14ac:dyDescent="0.25">
      <c r="A30" s="3" t="s">
        <v>40</v>
      </c>
      <c r="B30" s="9">
        <f>B11/$B$7*$B$8</f>
        <v>73047.599999999991</v>
      </c>
      <c r="C30" s="9">
        <f>B30+G20</f>
        <v>81121.599999999991</v>
      </c>
      <c r="D30" s="9">
        <f>C30-B30</f>
        <v>8074</v>
      </c>
    </row>
    <row r="31" spans="1:7" x14ac:dyDescent="0.25">
      <c r="A31" s="3" t="s">
        <v>41</v>
      </c>
      <c r="B31" s="8">
        <f>B30/$B$6</f>
        <v>0.1070789312136647</v>
      </c>
      <c r="C31" s="8">
        <f>C30/$B$6</f>
        <v>0.11891443697455388</v>
      </c>
      <c r="D31" s="4">
        <f>(C31-B31)*100</f>
        <v>1.1835505760889182</v>
      </c>
    </row>
    <row r="32" spans="1:7" x14ac:dyDescent="0.25">
      <c r="A32" s="3" t="s">
        <v>42</v>
      </c>
      <c r="B32" s="8">
        <f>B28/($B$5*$B$9)</f>
        <v>0.26769733065024076</v>
      </c>
      <c r="C32" s="8">
        <f>C28/($B$5*$B$9)</f>
        <v>0.2972860953416207</v>
      </c>
      <c r="D32" s="4">
        <f>(C32-B32)*100</f>
        <v>2.9588764691379943</v>
      </c>
    </row>
    <row r="33" spans="1:4" x14ac:dyDescent="0.25">
      <c r="A33" s="3" t="s">
        <v>43</v>
      </c>
      <c r="B33" s="7">
        <f>$B$4-B25</f>
        <v>6802.67</v>
      </c>
      <c r="C33" s="7">
        <f>$B$4-C25</f>
        <v>6714.67</v>
      </c>
      <c r="D33" s="7">
        <f>C33-B33</f>
        <v>-88</v>
      </c>
    </row>
    <row r="34" spans="1:4" x14ac:dyDescent="0.25">
      <c r="A34" s="3" t="s">
        <v>44</v>
      </c>
      <c r="B34" s="9">
        <f>$B$5-B28</f>
        <v>456852.76</v>
      </c>
      <c r="C34" s="9">
        <f>$B$5-C28</f>
        <v>450797.26</v>
      </c>
      <c r="D34" s="9">
        <f>C34-B34</f>
        <v>-6055.5</v>
      </c>
    </row>
    <row r="35" spans="1:4" x14ac:dyDescent="0.25">
      <c r="A35" s="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1" max="1" width="11" customWidth="1"/>
    <col min="2" max="2" width="62" customWidth="1"/>
    <col min="3" max="3" width="34" customWidth="1"/>
    <col min="4" max="4" width="6" customWidth="1"/>
    <col min="5" max="6" width="12" customWidth="1"/>
    <col min="7" max="7" width="11" customWidth="1"/>
    <col min="8" max="8" width="13" customWidth="1"/>
  </cols>
  <sheetData>
    <row r="1" spans="1:8" ht="18.75" x14ac:dyDescent="0.3">
      <c r="A1" s="1" t="s">
        <v>46</v>
      </c>
    </row>
    <row r="3" spans="1:8" ht="45" x14ac:dyDescent="0.25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</row>
    <row r="4" spans="1:8" x14ac:dyDescent="0.25">
      <c r="A4" s="3" t="s">
        <v>55</v>
      </c>
      <c r="B4" s="3" t="s">
        <v>56</v>
      </c>
      <c r="C4" s="3" t="s">
        <v>24</v>
      </c>
      <c r="D4" s="3">
        <v>3</v>
      </c>
      <c r="E4" s="3">
        <v>6</v>
      </c>
      <c r="F4" s="4">
        <f>SUMIF('LOGT Vásquez'!$G:$G,A4,'LOGT Vásquez'!$E:$E)/60</f>
        <v>6</v>
      </c>
      <c r="G4" s="4">
        <f t="shared" ref="G4:G15" si="0">F4-E4</f>
        <v>0</v>
      </c>
      <c r="H4" s="3" t="s">
        <v>57</v>
      </c>
    </row>
    <row r="5" spans="1:8" x14ac:dyDescent="0.25">
      <c r="A5" s="3" t="s">
        <v>58</v>
      </c>
      <c r="B5" s="3" t="s">
        <v>59</v>
      </c>
      <c r="C5" s="3" t="s">
        <v>24</v>
      </c>
      <c r="D5" s="3">
        <v>3</v>
      </c>
      <c r="E5" s="3">
        <v>8</v>
      </c>
      <c r="F5" s="4">
        <f>SUMIF('LOGT Vásquez'!$G:$G,A5,'LOGT Vásquez'!$E:$E)/60</f>
        <v>8</v>
      </c>
      <c r="G5" s="4">
        <f t="shared" si="0"/>
        <v>0</v>
      </c>
      <c r="H5" s="3" t="s">
        <v>57</v>
      </c>
    </row>
    <row r="6" spans="1:8" x14ac:dyDescent="0.25">
      <c r="A6" s="3" t="s">
        <v>60</v>
      </c>
      <c r="B6" s="3" t="s">
        <v>61</v>
      </c>
      <c r="C6" s="3" t="s">
        <v>24</v>
      </c>
      <c r="D6" s="3">
        <v>2</v>
      </c>
      <c r="E6" s="3">
        <v>5</v>
      </c>
      <c r="F6" s="4">
        <f>SUMIF('LOGT Vásquez'!$G:$G,A6,'LOGT Vásquez'!$E:$E)/60</f>
        <v>5</v>
      </c>
      <c r="G6" s="4">
        <f t="shared" si="0"/>
        <v>0</v>
      </c>
      <c r="H6" s="3" t="s">
        <v>57</v>
      </c>
    </row>
    <row r="7" spans="1:8" x14ac:dyDescent="0.25">
      <c r="A7" s="3" t="s">
        <v>62</v>
      </c>
      <c r="B7" s="3" t="s">
        <v>63</v>
      </c>
      <c r="C7" s="3" t="s">
        <v>25</v>
      </c>
      <c r="D7" s="3">
        <v>3</v>
      </c>
      <c r="E7" s="3">
        <v>5</v>
      </c>
      <c r="F7" s="4">
        <f>SUMIF('LOGT Tubac'!$G:$G,A7,'LOGT Tubac'!$E:$E)/60</f>
        <v>5</v>
      </c>
      <c r="G7" s="4">
        <f t="shared" si="0"/>
        <v>0</v>
      </c>
      <c r="H7" s="3" t="s">
        <v>57</v>
      </c>
    </row>
    <row r="8" spans="1:8" x14ac:dyDescent="0.25">
      <c r="A8" s="3" t="s">
        <v>64</v>
      </c>
      <c r="B8" s="3" t="s">
        <v>65</v>
      </c>
      <c r="C8" s="3" t="s">
        <v>25</v>
      </c>
      <c r="D8" s="3">
        <v>3</v>
      </c>
      <c r="E8" s="3">
        <v>5</v>
      </c>
      <c r="F8" s="4">
        <f>SUMIF('LOGT Tubac'!$G:$G,A8,'LOGT Tubac'!$E:$E)/60</f>
        <v>5</v>
      </c>
      <c r="G8" s="4">
        <f t="shared" si="0"/>
        <v>0</v>
      </c>
      <c r="H8" s="3" t="s">
        <v>57</v>
      </c>
    </row>
    <row r="9" spans="1:8" x14ac:dyDescent="0.25">
      <c r="A9" s="3" t="s">
        <v>66</v>
      </c>
      <c r="B9" s="3" t="s">
        <v>67</v>
      </c>
      <c r="C9" s="3" t="s">
        <v>25</v>
      </c>
      <c r="D9" s="3">
        <v>3</v>
      </c>
      <c r="E9" s="3">
        <v>8</v>
      </c>
      <c r="F9" s="4">
        <f>SUMIF('LOGT Tubac'!$G:$G,A9,'LOGT Tubac'!$E:$E)/60</f>
        <v>8</v>
      </c>
      <c r="G9" s="4">
        <f t="shared" si="0"/>
        <v>0</v>
      </c>
      <c r="H9" s="3" t="s">
        <v>57</v>
      </c>
    </row>
    <row r="10" spans="1:8" x14ac:dyDescent="0.25">
      <c r="A10" s="3" t="s">
        <v>68</v>
      </c>
      <c r="B10" s="3" t="s">
        <v>69</v>
      </c>
      <c r="C10" s="3" t="s">
        <v>26</v>
      </c>
      <c r="D10" s="3">
        <v>5</v>
      </c>
      <c r="E10" s="3">
        <v>10</v>
      </c>
      <c r="F10" s="4">
        <f>SUMIF('LOGT Montenegro'!$G:$G,A10,'LOGT Montenegro'!$E:$E)/60</f>
        <v>10</v>
      </c>
      <c r="G10" s="4">
        <f t="shared" si="0"/>
        <v>0</v>
      </c>
      <c r="H10" s="3" t="s">
        <v>57</v>
      </c>
    </row>
    <row r="11" spans="1:8" x14ac:dyDescent="0.25">
      <c r="A11" s="3" t="s">
        <v>70</v>
      </c>
      <c r="B11" s="3" t="s">
        <v>71</v>
      </c>
      <c r="C11" s="3" t="s">
        <v>26</v>
      </c>
      <c r="D11" s="3">
        <v>5</v>
      </c>
      <c r="E11" s="3">
        <v>13</v>
      </c>
      <c r="F11" s="4">
        <f>SUMIF('LOGT Montenegro'!$G:$G,A11,'LOGT Montenegro'!$E:$E)/60</f>
        <v>13</v>
      </c>
      <c r="G11" s="4">
        <f t="shared" si="0"/>
        <v>0</v>
      </c>
      <c r="H11" s="3" t="s">
        <v>57</v>
      </c>
    </row>
    <row r="12" spans="1:8" x14ac:dyDescent="0.25">
      <c r="A12" s="3" t="s">
        <v>72</v>
      </c>
      <c r="B12" s="3" t="s">
        <v>73</v>
      </c>
      <c r="C12" s="3" t="s">
        <v>27</v>
      </c>
      <c r="D12" s="3">
        <v>5</v>
      </c>
      <c r="E12" s="3">
        <v>8</v>
      </c>
      <c r="F12" s="4">
        <f>SUMIF('LOGT Avilés'!$G:$G,A12,'LOGT Avilés'!$E:$E)/60</f>
        <v>8</v>
      </c>
      <c r="G12" s="4">
        <f t="shared" si="0"/>
        <v>0</v>
      </c>
      <c r="H12" s="3" t="s">
        <v>57</v>
      </c>
    </row>
    <row r="13" spans="1:8" x14ac:dyDescent="0.25">
      <c r="A13" s="3" t="s">
        <v>74</v>
      </c>
      <c r="B13" s="3" t="s">
        <v>75</v>
      </c>
      <c r="C13" s="3" t="s">
        <v>27</v>
      </c>
      <c r="D13" s="3">
        <v>2</v>
      </c>
      <c r="E13" s="3">
        <v>5</v>
      </c>
      <c r="F13" s="4">
        <f>SUMIF('LOGT Avilés'!$G:$G,A13,'LOGT Avilés'!$E:$E)/60</f>
        <v>5</v>
      </c>
      <c r="G13" s="4">
        <f t="shared" si="0"/>
        <v>0</v>
      </c>
      <c r="H13" s="3" t="s">
        <v>57</v>
      </c>
    </row>
    <row r="14" spans="1:8" x14ac:dyDescent="0.25">
      <c r="A14" s="3" t="s">
        <v>76</v>
      </c>
      <c r="B14" s="3" t="s">
        <v>77</v>
      </c>
      <c r="C14" s="3" t="s">
        <v>28</v>
      </c>
      <c r="D14" s="3">
        <v>5</v>
      </c>
      <c r="E14" s="3">
        <v>10</v>
      </c>
      <c r="F14" s="4">
        <f>SUMIF('LOGT Figueroa'!$G:$G,A14,'LOGT Figueroa'!$E:$E)/60</f>
        <v>10</v>
      </c>
      <c r="G14" s="4">
        <f t="shared" si="0"/>
        <v>0</v>
      </c>
      <c r="H14" s="3" t="s">
        <v>57</v>
      </c>
    </row>
    <row r="15" spans="1:8" x14ac:dyDescent="0.25">
      <c r="A15" s="3" t="s">
        <v>78</v>
      </c>
      <c r="B15" s="3" t="s">
        <v>79</v>
      </c>
      <c r="C15" s="3" t="s">
        <v>28</v>
      </c>
      <c r="D15" s="3">
        <v>3</v>
      </c>
      <c r="E15" s="3">
        <v>5</v>
      </c>
      <c r="F15" s="4">
        <f>SUMIF('LOGT Figueroa'!$G:$G,A15,'LOGT Figueroa'!$E:$E)/60</f>
        <v>5</v>
      </c>
      <c r="G15" s="4">
        <f t="shared" si="0"/>
        <v>0</v>
      </c>
      <c r="H15" s="3" t="s">
        <v>57</v>
      </c>
    </row>
    <row r="16" spans="1:8" x14ac:dyDescent="0.25">
      <c r="A16" s="5" t="s">
        <v>29</v>
      </c>
      <c r="B16" s="5"/>
      <c r="C16" s="5"/>
      <c r="D16" s="5">
        <f>SUM(D4:D15)</f>
        <v>42</v>
      </c>
      <c r="E16" s="5">
        <f>SUM(E4:E15)</f>
        <v>88</v>
      </c>
      <c r="F16" s="5">
        <f>SUM(F4:F15)</f>
        <v>88</v>
      </c>
      <c r="G16" s="5">
        <f>SUM(G4:G15)</f>
        <v>0</v>
      </c>
      <c r="H16" s="5"/>
    </row>
    <row r="18" spans="1:1" x14ac:dyDescent="0.25">
      <c r="A18" s="6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9.140625" defaultRowHeight="15" x14ac:dyDescent="0.25"/>
  <cols>
    <col min="1" max="3" width="16" customWidth="1"/>
    <col min="4" max="4" width="14" customWidth="1"/>
    <col min="5" max="5" width="22" customWidth="1"/>
    <col min="6" max="6" width="14" customWidth="1"/>
    <col min="7" max="7" width="44" customWidth="1"/>
  </cols>
  <sheetData>
    <row r="1" spans="1:7" ht="18.75" x14ac:dyDescent="0.3">
      <c r="A1" s="1" t="s">
        <v>81</v>
      </c>
    </row>
    <row r="3" spans="1:7" ht="45" x14ac:dyDescent="0.25">
      <c r="A3" s="2" t="s">
        <v>82</v>
      </c>
      <c r="B3" s="2" t="s">
        <v>83</v>
      </c>
      <c r="C3" s="2" t="s">
        <v>35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25">
      <c r="A4" s="3" t="s">
        <v>88</v>
      </c>
      <c r="B4" s="7">
        <v>514.5</v>
      </c>
      <c r="C4" s="7">
        <v>514.5</v>
      </c>
      <c r="D4" s="8">
        <f>C4/Calculo!$B$4</f>
        <v>6.7575820859060082E-2</v>
      </c>
      <c r="E4" s="3" t="s">
        <v>89</v>
      </c>
      <c r="F4" s="3"/>
      <c r="G4" s="3" t="s">
        <v>90</v>
      </c>
    </row>
    <row r="5" spans="1:7" x14ac:dyDescent="0.25">
      <c r="A5" s="3" t="s">
        <v>91</v>
      </c>
      <c r="B5" s="7">
        <v>206.5</v>
      </c>
      <c r="C5" s="7">
        <v>721</v>
      </c>
      <c r="D5" s="8">
        <f>C5/Calculo!$B$4</f>
        <v>9.4698089095009375E-2</v>
      </c>
      <c r="E5" s="9">
        <v>48701.7</v>
      </c>
      <c r="F5" s="8">
        <f>E5/Calculo!$B$5</f>
        <v>9.5187722987048307E-2</v>
      </c>
      <c r="G5" s="3" t="s">
        <v>92</v>
      </c>
    </row>
    <row r="6" spans="1:7" x14ac:dyDescent="0.25">
      <c r="A6" s="3" t="s">
        <v>93</v>
      </c>
      <c r="B6" s="7">
        <f>Calculo!B10-C5</f>
        <v>90</v>
      </c>
      <c r="C6" s="7">
        <f>Calculo!B10</f>
        <v>811</v>
      </c>
      <c r="D6" s="8">
        <f>C6/Calculo!$B$4</f>
        <v>0.10651893239397031</v>
      </c>
      <c r="E6" s="9">
        <f>Calculo!B11</f>
        <v>54785.7</v>
      </c>
      <c r="F6" s="8">
        <f>E6/Calculo!$B$5</f>
        <v>0.10707893226009631</v>
      </c>
      <c r="G6" s="3" t="s">
        <v>94</v>
      </c>
    </row>
    <row r="7" spans="1:7" x14ac:dyDescent="0.25">
      <c r="A7" s="3" t="s">
        <v>95</v>
      </c>
      <c r="B7" s="7">
        <f>Calculo!C20</f>
        <v>88</v>
      </c>
      <c r="C7" s="7">
        <f>Calculo!C25</f>
        <v>899</v>
      </c>
      <c r="D7" s="8">
        <f>C7/Calculo!$B$4</f>
        <v>0.11807709028628768</v>
      </c>
      <c r="E7" s="9">
        <f>Calculo!C28</f>
        <v>60841.2</v>
      </c>
      <c r="F7" s="8">
        <f>E7/Calculo!$B$5</f>
        <v>0.11891443813664827</v>
      </c>
      <c r="G7" s="3" t="s">
        <v>96</v>
      </c>
    </row>
    <row r="9" spans="1:7" x14ac:dyDescent="0.25">
      <c r="A9" s="6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ht="18.75" x14ac:dyDescent="0.3">
      <c r="A1" s="1" t="s">
        <v>98</v>
      </c>
    </row>
    <row r="3" spans="1:1" ht="75" customHeight="1" x14ac:dyDescent="0.25">
      <c r="A3" s="10" t="str">
        <f>"En el Sprint 9 se registran "&amp;TEXT(Calculo!C20,"#,##0")&amp;" H/H según los LOGT de los cinco integrantes. Con ello el equipo acumula "&amp;TEXT(Calculo!C25,"#,##0.00")&amp;" H/H, equivalentes al "&amp;TEXT(Calculo!C26,"0.00%")&amp;" del esfuerzo total estimado de "&amp;TEXT(Calculo!B4,"#,##0.00")&amp;" H/H, un avance de "&amp;TEXT(Calculo!D26,"0.00")&amp;" puntos porcentuales respecto del corte del Sprint 8 ("&amp;TEXT(Calculo!B26,"0.00%")&amp;")."</f>
        <v>En el Sprint 9 se registran 88 H/H según los LOGT de los cinco integrantes. Con ello el equipo acumula 899.00 H/H, equivalentes al 11.81% del esfuerzo total estimado de 7,613.67 H/H, un avance de 1.16 puntos porcentuales respecto del corte del Sprint 8 (10.65%).</v>
      </c>
    </row>
    <row r="5" spans="1:1" ht="75" customHeight="1" x14ac:dyDescent="0.25">
      <c r="A5" s="10" t="str">
        <f>"Con la tarifa individual de cada integrante, el Sprint 9 suma Q "&amp;TEXT(Calculo!F20,"#,##0.00")&amp;" con K = 1.5, y el monto ejecutado acumulado asciende a Q "&amp;TEXT(Calculo!C28,"#,##0.00")&amp;", el "&amp;TEXT(Calculo!C29,"0.00%")&amp;" del costo total estimado (Q "&amp;TEXT(Calculo!B5,"#,##0.00")&amp;"). Con K = 2 son Q "&amp;TEXT(Calculo!C30,"#,##0.00")&amp;" sobre Q "&amp;TEXT(Calculo!B6,"#,##0.00")&amp;", la misma proporción. Frente al Sprint 8, el porcentaje de costo avanza "&amp;TEXT(Calculo!D29,"0.00")&amp;" puntos porcentuales."</f>
        <v>Con la tarifa individual de cada integrante, el Sprint 9 suma Q 6,055.50 con K = 1.5, y el monto ejecutado acumulado asciende a Q 60,841.20, el 11.89% del costo total estimado (Q 511,638.46). Con K = 2 son Q 81,121.60 sobre Q 682,184.62, la misma proporción. Frente al Sprint 8, el porcentaje de costo avanza 1.18 puntos porcentuales.</v>
      </c>
    </row>
    <row r="7" spans="1:1" ht="75" customHeight="1" x14ac:dyDescent="0.25">
      <c r="A7" s="10" t="str">
        <f>"Métrica dual: frente al esfuerzo de ciclo completo del PCU se ha consumido el "&amp;TEXT(Calculo!C26,"0.00%")&amp;"; frente a la actividad de implementación (40 % del esfuerzo, "&amp;TEXT(Calculo!B4*Calculo!B9,"#,##0.00")&amp;" H/H) el consumo es del "&amp;TEXT(Calculo!C27,"0.00%")&amp;", y en costo del "&amp;TEXT(Calculo!C32,"0.00%")&amp;"."</f>
        <v>Métrica dual: frente al esfuerzo de ciclo completo del PCU se ha consumido el 11.81%; frente a la actividad de implementación (40 % del esfuerzo, 3,045.47 H/H) el consumo es del 29.52%, y en costo del 29.73%.</v>
      </c>
    </row>
    <row r="9" spans="1:1" ht="75" customHeight="1" x14ac:dyDescent="0.25">
      <c r="A9" s="10" t="s">
        <v>99</v>
      </c>
    </row>
    <row r="11" spans="1:1" ht="75" customHeight="1" x14ac:dyDescent="0.25">
      <c r="A11" s="10" t="str">
        <f>"Proyección: al ritmo de los últimos dos sprints (unas "&amp;TEXT((Serie!B6+Serie!B7)/2,"0")&amp;" H/H por sprint), el saldo de "&amp;TEXT(Calculo!C33,"#,##0")&amp;" H/H y Q "&amp;TEXT(Calculo!C34,"#,##0.00")&amp;" (K = 1.5) alcanza con holgura para los sprints restantes. El presupuesto no es la restricción del proyecto; lo es el calendario académico."</f>
        <v>Proyección: al ritmo de los últimos dos sprints (unas 89 H/H por sprint), el saldo de 6,715 H/H y Q 450,797.26 (K = 1.5) alcanza con holgura para los sprints restantes. El presupuesto no es la restricción del proyecto; lo es el calendario académico.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8" customWidth="1"/>
    <col min="4" max="5" width="13" customWidth="1"/>
    <col min="6" max="6" width="16" customWidth="1"/>
    <col min="7" max="7" width="12" customWidth="1"/>
    <col min="8" max="8" width="70" customWidth="1"/>
  </cols>
  <sheetData>
    <row r="1" spans="1:8" ht="18.75" x14ac:dyDescent="0.3">
      <c r="A1" s="1" t="s">
        <v>100</v>
      </c>
    </row>
    <row r="3" spans="1:8" x14ac:dyDescent="0.25">
      <c r="A3" s="11" t="s">
        <v>17</v>
      </c>
      <c r="B3" t="s">
        <v>24</v>
      </c>
    </row>
    <row r="4" spans="1:8" x14ac:dyDescent="0.25">
      <c r="A4" s="11" t="s">
        <v>101</v>
      </c>
      <c r="B4" t="s">
        <v>102</v>
      </c>
    </row>
    <row r="5" spans="1:8" x14ac:dyDescent="0.25">
      <c r="A5" s="11" t="s">
        <v>103</v>
      </c>
      <c r="B5" t="s">
        <v>104</v>
      </c>
    </row>
    <row r="6" spans="1:8" x14ac:dyDescent="0.25">
      <c r="A6" s="11" t="s">
        <v>105</v>
      </c>
      <c r="B6" t="s">
        <v>106</v>
      </c>
    </row>
    <row r="8" spans="1:8" ht="30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114</v>
      </c>
    </row>
    <row r="9" spans="1:8" x14ac:dyDescent="0.25">
      <c r="A9" s="19">
        <v>46303</v>
      </c>
      <c r="B9" s="20">
        <v>0.66666666666666663</v>
      </c>
      <c r="C9" s="20">
        <v>0.77083333333333337</v>
      </c>
      <c r="D9" s="3">
        <v>0</v>
      </c>
      <c r="E9" s="3">
        <f t="shared" ref="E9:E15" si="0">ROUND(MOD(C9-B9,1)*1440,0)-D9</f>
        <v>150</v>
      </c>
      <c r="F9" s="3" t="s">
        <v>115</v>
      </c>
      <c r="G9" s="3" t="s">
        <v>55</v>
      </c>
      <c r="H9" s="3" t="s">
        <v>116</v>
      </c>
    </row>
    <row r="10" spans="1:8" x14ac:dyDescent="0.25">
      <c r="A10" s="19">
        <v>46303</v>
      </c>
      <c r="B10" s="20">
        <v>0.8125</v>
      </c>
      <c r="C10" s="20">
        <v>0.95833333333333337</v>
      </c>
      <c r="D10" s="3">
        <v>0</v>
      </c>
      <c r="E10" s="3">
        <f t="shared" si="0"/>
        <v>210</v>
      </c>
      <c r="F10" s="3" t="s">
        <v>117</v>
      </c>
      <c r="G10" s="3" t="s">
        <v>55</v>
      </c>
      <c r="H10" s="3" t="s">
        <v>118</v>
      </c>
    </row>
    <row r="11" spans="1:8" x14ac:dyDescent="0.25">
      <c r="A11" s="19">
        <v>46304</v>
      </c>
      <c r="B11" s="20">
        <v>0.85416666666666663</v>
      </c>
      <c r="C11" s="20">
        <v>3.125E-2</v>
      </c>
      <c r="D11" s="3">
        <v>15</v>
      </c>
      <c r="E11" s="3">
        <f t="shared" si="0"/>
        <v>240</v>
      </c>
      <c r="F11" s="3" t="s">
        <v>119</v>
      </c>
      <c r="G11" s="3" t="s">
        <v>58</v>
      </c>
      <c r="H11" s="3" t="s">
        <v>120</v>
      </c>
    </row>
    <row r="12" spans="1:8" x14ac:dyDescent="0.25">
      <c r="A12" s="19">
        <v>46305</v>
      </c>
      <c r="B12" s="20">
        <v>0.91666666666666663</v>
      </c>
      <c r="C12" s="20">
        <v>6.25E-2</v>
      </c>
      <c r="D12" s="3">
        <v>30</v>
      </c>
      <c r="E12" s="3">
        <f t="shared" si="0"/>
        <v>180</v>
      </c>
      <c r="F12" s="3" t="s">
        <v>119</v>
      </c>
      <c r="G12" s="3" t="s">
        <v>58</v>
      </c>
      <c r="H12" s="3" t="s">
        <v>121</v>
      </c>
    </row>
    <row r="13" spans="1:8" x14ac:dyDescent="0.25">
      <c r="A13" s="19">
        <v>46306</v>
      </c>
      <c r="B13" s="20">
        <v>0.375</v>
      </c>
      <c r="C13" s="20">
        <v>0.53125</v>
      </c>
      <c r="D13" s="3">
        <v>15</v>
      </c>
      <c r="E13" s="3">
        <f t="shared" si="0"/>
        <v>210</v>
      </c>
      <c r="F13" s="3" t="s">
        <v>117</v>
      </c>
      <c r="G13" s="3" t="s">
        <v>60</v>
      </c>
      <c r="H13" s="3" t="s">
        <v>122</v>
      </c>
    </row>
    <row r="14" spans="1:8" x14ac:dyDescent="0.25">
      <c r="A14" s="19">
        <v>46306</v>
      </c>
      <c r="B14" s="20">
        <v>0.53125</v>
      </c>
      <c r="C14" s="20">
        <v>0.57291666666666663</v>
      </c>
      <c r="D14" s="3">
        <v>0</v>
      </c>
      <c r="E14" s="3">
        <f t="shared" si="0"/>
        <v>60</v>
      </c>
      <c r="F14" s="3" t="s">
        <v>123</v>
      </c>
      <c r="G14" s="3" t="s">
        <v>58</v>
      </c>
      <c r="H14" s="3" t="s">
        <v>124</v>
      </c>
    </row>
    <row r="15" spans="1:8" x14ac:dyDescent="0.25">
      <c r="A15" s="19">
        <v>46307</v>
      </c>
      <c r="B15" s="20">
        <v>0.75</v>
      </c>
      <c r="C15" s="20">
        <v>0.8125</v>
      </c>
      <c r="D15" s="3">
        <v>0</v>
      </c>
      <c r="E15" s="3">
        <f t="shared" si="0"/>
        <v>90</v>
      </c>
      <c r="F15" s="3" t="s">
        <v>123</v>
      </c>
      <c r="G15" s="3" t="s">
        <v>60</v>
      </c>
      <c r="H15" s="3" t="s">
        <v>125</v>
      </c>
    </row>
    <row r="16" spans="1:8" x14ac:dyDescent="0.25">
      <c r="A16" s="5" t="s">
        <v>29</v>
      </c>
      <c r="B16" s="5"/>
      <c r="C16" s="5"/>
      <c r="D16" s="5">
        <f>SUM(D9:D15)</f>
        <v>60</v>
      </c>
      <c r="E16" s="5">
        <f>SUM(E9:E15)</f>
        <v>1140</v>
      </c>
      <c r="F16" s="5"/>
      <c r="G16" s="5"/>
      <c r="H16" s="5"/>
    </row>
    <row r="17" spans="1:8" x14ac:dyDescent="0.25">
      <c r="A17" s="5" t="s">
        <v>126</v>
      </c>
      <c r="B17" s="5"/>
      <c r="C17" s="5"/>
      <c r="D17" s="5"/>
      <c r="E17" s="17">
        <f>E16/60</f>
        <v>19</v>
      </c>
      <c r="F17" s="5"/>
      <c r="G17" s="5"/>
      <c r="H17" s="5"/>
    </row>
    <row r="19" spans="1:8" x14ac:dyDescent="0.25">
      <c r="A19" s="6" t="s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8" customWidth="1"/>
    <col min="4" max="5" width="13" customWidth="1"/>
    <col min="6" max="6" width="16" customWidth="1"/>
    <col min="7" max="7" width="12" customWidth="1"/>
    <col min="8" max="8" width="70" customWidth="1"/>
  </cols>
  <sheetData>
    <row r="1" spans="1:8" ht="18.75" x14ac:dyDescent="0.3">
      <c r="A1" s="1" t="s">
        <v>100</v>
      </c>
    </row>
    <row r="3" spans="1:8" x14ac:dyDescent="0.25">
      <c r="A3" s="11" t="s">
        <v>17</v>
      </c>
      <c r="B3" t="s">
        <v>25</v>
      </c>
    </row>
    <row r="4" spans="1:8" x14ac:dyDescent="0.25">
      <c r="A4" s="11" t="s">
        <v>101</v>
      </c>
      <c r="B4" t="s">
        <v>128</v>
      </c>
    </row>
    <row r="5" spans="1:8" x14ac:dyDescent="0.25">
      <c r="A5" s="11" t="s">
        <v>103</v>
      </c>
      <c r="B5" t="s">
        <v>104</v>
      </c>
    </row>
    <row r="6" spans="1:8" x14ac:dyDescent="0.25">
      <c r="A6" s="11" t="s">
        <v>105</v>
      </c>
      <c r="B6" t="s">
        <v>106</v>
      </c>
    </row>
    <row r="8" spans="1:8" ht="30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114</v>
      </c>
    </row>
    <row r="9" spans="1:8" x14ac:dyDescent="0.25">
      <c r="A9" s="19">
        <v>46303</v>
      </c>
      <c r="B9" s="20">
        <v>0.70833333333333337</v>
      </c>
      <c r="C9" s="20">
        <v>0.79166666666666663</v>
      </c>
      <c r="D9" s="3">
        <v>0</v>
      </c>
      <c r="E9" s="3">
        <f t="shared" ref="E9:E15" si="0">ROUND(MOD(C9-B9,1)*1440,0)-D9</f>
        <v>120</v>
      </c>
      <c r="F9" s="3" t="s">
        <v>129</v>
      </c>
      <c r="G9" s="3" t="s">
        <v>64</v>
      </c>
      <c r="H9" s="3" t="s">
        <v>130</v>
      </c>
    </row>
    <row r="10" spans="1:8" x14ac:dyDescent="0.25">
      <c r="A10" s="19">
        <v>46303</v>
      </c>
      <c r="B10" s="20">
        <v>0.80208333333333337</v>
      </c>
      <c r="C10" s="20">
        <v>0.92708333333333337</v>
      </c>
      <c r="D10" s="3">
        <v>0</v>
      </c>
      <c r="E10" s="3">
        <f t="shared" si="0"/>
        <v>180</v>
      </c>
      <c r="F10" s="3" t="s">
        <v>117</v>
      </c>
      <c r="G10" s="3" t="s">
        <v>64</v>
      </c>
      <c r="H10" s="3" t="s">
        <v>131</v>
      </c>
    </row>
    <row r="11" spans="1:8" x14ac:dyDescent="0.25">
      <c r="A11" s="19">
        <v>46305</v>
      </c>
      <c r="B11" s="20">
        <v>0.75</v>
      </c>
      <c r="C11" s="20">
        <v>0.85416666666666663</v>
      </c>
      <c r="D11" s="3">
        <v>0</v>
      </c>
      <c r="E11" s="3">
        <f t="shared" si="0"/>
        <v>150</v>
      </c>
      <c r="F11" s="3" t="s">
        <v>129</v>
      </c>
      <c r="G11" s="3" t="s">
        <v>62</v>
      </c>
      <c r="H11" s="3" t="s">
        <v>132</v>
      </c>
    </row>
    <row r="12" spans="1:8" x14ac:dyDescent="0.25">
      <c r="A12" s="19">
        <v>46305</v>
      </c>
      <c r="B12" s="20">
        <v>0.875</v>
      </c>
      <c r="C12" s="20">
        <v>0.97916666666666663</v>
      </c>
      <c r="D12" s="3">
        <v>0</v>
      </c>
      <c r="E12" s="3">
        <f t="shared" si="0"/>
        <v>150</v>
      </c>
      <c r="F12" s="3" t="s">
        <v>117</v>
      </c>
      <c r="G12" s="3" t="s">
        <v>62</v>
      </c>
      <c r="H12" s="3" t="s">
        <v>133</v>
      </c>
    </row>
    <row r="13" spans="1:8" x14ac:dyDescent="0.25">
      <c r="A13" s="19">
        <v>46306</v>
      </c>
      <c r="B13" s="20">
        <v>0.79166666666666663</v>
      </c>
      <c r="C13" s="20">
        <v>0.875</v>
      </c>
      <c r="D13" s="3">
        <v>0</v>
      </c>
      <c r="E13" s="3">
        <f t="shared" si="0"/>
        <v>120</v>
      </c>
      <c r="F13" s="3" t="s">
        <v>115</v>
      </c>
      <c r="G13" s="3" t="s">
        <v>66</v>
      </c>
      <c r="H13" s="3" t="s">
        <v>134</v>
      </c>
    </row>
    <row r="14" spans="1:8" x14ac:dyDescent="0.25">
      <c r="A14" s="19">
        <v>46307</v>
      </c>
      <c r="B14" s="20">
        <v>0.58333333333333337</v>
      </c>
      <c r="C14" s="20">
        <v>0.77083333333333337</v>
      </c>
      <c r="D14" s="3">
        <v>30</v>
      </c>
      <c r="E14" s="3">
        <f t="shared" si="0"/>
        <v>240</v>
      </c>
      <c r="F14" s="3" t="s">
        <v>123</v>
      </c>
      <c r="G14" s="3" t="s">
        <v>66</v>
      </c>
      <c r="H14" s="3" t="s">
        <v>135</v>
      </c>
    </row>
    <row r="15" spans="1:8" x14ac:dyDescent="0.25">
      <c r="A15" s="19">
        <v>46307</v>
      </c>
      <c r="B15" s="20">
        <v>0.8125</v>
      </c>
      <c r="C15" s="20">
        <v>0.89583333333333337</v>
      </c>
      <c r="D15" s="3">
        <v>0</v>
      </c>
      <c r="E15" s="3">
        <f t="shared" si="0"/>
        <v>120</v>
      </c>
      <c r="F15" s="3" t="s">
        <v>123</v>
      </c>
      <c r="G15" s="3" t="s">
        <v>66</v>
      </c>
      <c r="H15" s="3" t="s">
        <v>136</v>
      </c>
    </row>
    <row r="16" spans="1:8" x14ac:dyDescent="0.25">
      <c r="A16" s="5" t="s">
        <v>29</v>
      </c>
      <c r="B16" s="5"/>
      <c r="C16" s="5"/>
      <c r="D16" s="5">
        <f>SUM(D9:D15)</f>
        <v>30</v>
      </c>
      <c r="E16" s="5">
        <f>SUM(E9:E15)</f>
        <v>1080</v>
      </c>
      <c r="F16" s="5"/>
      <c r="G16" s="5"/>
      <c r="H16" s="5"/>
    </row>
    <row r="17" spans="1:8" x14ac:dyDescent="0.25">
      <c r="A17" s="5" t="s">
        <v>126</v>
      </c>
      <c r="B17" s="5"/>
      <c r="C17" s="5"/>
      <c r="D17" s="5"/>
      <c r="E17" s="17">
        <f>E16/60</f>
        <v>18</v>
      </c>
      <c r="F17" s="5"/>
      <c r="G17" s="5"/>
      <c r="H17" s="5"/>
    </row>
    <row r="19" spans="1:8" x14ac:dyDescent="0.25">
      <c r="A19" s="6" t="s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8" customWidth="1"/>
    <col min="4" max="5" width="13" customWidth="1"/>
    <col min="6" max="6" width="16" customWidth="1"/>
    <col min="7" max="7" width="12" customWidth="1"/>
    <col min="8" max="8" width="70" customWidth="1"/>
  </cols>
  <sheetData>
    <row r="1" spans="1:8" ht="18.75" x14ac:dyDescent="0.3">
      <c r="A1" s="1" t="s">
        <v>100</v>
      </c>
    </row>
    <row r="3" spans="1:8" x14ac:dyDescent="0.25">
      <c r="A3" s="11" t="s">
        <v>17</v>
      </c>
      <c r="B3" t="s">
        <v>26</v>
      </c>
    </row>
    <row r="4" spans="1:8" x14ac:dyDescent="0.25">
      <c r="A4" s="11" t="s">
        <v>101</v>
      </c>
    </row>
    <row r="5" spans="1:8" x14ac:dyDescent="0.25">
      <c r="A5" s="11" t="s">
        <v>103</v>
      </c>
      <c r="B5" t="s">
        <v>104</v>
      </c>
    </row>
    <row r="6" spans="1:8" x14ac:dyDescent="0.25">
      <c r="A6" s="11" t="s">
        <v>105</v>
      </c>
      <c r="B6" t="s">
        <v>106</v>
      </c>
    </row>
    <row r="8" spans="1:8" ht="30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114</v>
      </c>
    </row>
    <row r="9" spans="1:8" x14ac:dyDescent="0.25">
      <c r="A9" s="19">
        <v>46304</v>
      </c>
      <c r="B9" s="20">
        <v>0.75</v>
      </c>
      <c r="C9" s="20">
        <v>0.875</v>
      </c>
      <c r="D9" s="3">
        <v>0</v>
      </c>
      <c r="E9" s="3">
        <f t="shared" ref="E9:E14" si="0">ROUND(MOD(C9-B9,1)*1440,0)-D9</f>
        <v>180</v>
      </c>
      <c r="F9" s="3" t="s">
        <v>115</v>
      </c>
      <c r="G9" s="3" t="s">
        <v>70</v>
      </c>
      <c r="H9" s="3" t="s">
        <v>137</v>
      </c>
    </row>
    <row r="10" spans="1:8" x14ac:dyDescent="0.25">
      <c r="A10" s="19">
        <v>46305</v>
      </c>
      <c r="B10" s="20">
        <v>0.375</v>
      </c>
      <c r="C10" s="20">
        <v>0.5</v>
      </c>
      <c r="D10" s="3">
        <v>0</v>
      </c>
      <c r="E10" s="3">
        <f t="shared" si="0"/>
        <v>180</v>
      </c>
      <c r="F10" s="3" t="s">
        <v>129</v>
      </c>
      <c r="G10" s="3" t="s">
        <v>70</v>
      </c>
      <c r="H10" s="3" t="s">
        <v>138</v>
      </c>
    </row>
    <row r="11" spans="1:8" x14ac:dyDescent="0.25">
      <c r="A11" s="19">
        <v>46305</v>
      </c>
      <c r="B11" s="20">
        <v>0.625</v>
      </c>
      <c r="C11" s="20">
        <v>0.8125</v>
      </c>
      <c r="D11" s="3">
        <v>30</v>
      </c>
      <c r="E11" s="3">
        <f t="shared" si="0"/>
        <v>240</v>
      </c>
      <c r="F11" s="3" t="s">
        <v>117</v>
      </c>
      <c r="G11" s="3" t="s">
        <v>68</v>
      </c>
      <c r="H11" s="3" t="s">
        <v>139</v>
      </c>
    </row>
    <row r="12" spans="1:8" x14ac:dyDescent="0.25">
      <c r="A12" s="19">
        <v>46306</v>
      </c>
      <c r="B12" s="20">
        <v>0.39583333333333331</v>
      </c>
      <c r="C12" s="20">
        <v>0.66666666666666663</v>
      </c>
      <c r="D12" s="3">
        <v>30</v>
      </c>
      <c r="E12" s="3">
        <f t="shared" si="0"/>
        <v>360</v>
      </c>
      <c r="F12" s="3" t="s">
        <v>117</v>
      </c>
      <c r="G12" s="3" t="s">
        <v>68</v>
      </c>
      <c r="H12" s="3" t="s">
        <v>140</v>
      </c>
    </row>
    <row r="13" spans="1:8" x14ac:dyDescent="0.25">
      <c r="A13" s="19">
        <v>46307</v>
      </c>
      <c r="B13" s="20">
        <v>0.33333333333333331</v>
      </c>
      <c r="C13" s="20">
        <v>0.54166666666666663</v>
      </c>
      <c r="D13" s="3">
        <v>30</v>
      </c>
      <c r="E13" s="3">
        <f t="shared" si="0"/>
        <v>270</v>
      </c>
      <c r="F13" s="3" t="s">
        <v>123</v>
      </c>
      <c r="G13" s="3" t="s">
        <v>70</v>
      </c>
      <c r="H13" s="3" t="s">
        <v>141</v>
      </c>
    </row>
    <row r="14" spans="1:8" x14ac:dyDescent="0.25">
      <c r="A14" s="19">
        <v>46307</v>
      </c>
      <c r="B14" s="20">
        <v>0.60416666666666663</v>
      </c>
      <c r="C14" s="20">
        <v>0.70833333333333337</v>
      </c>
      <c r="D14" s="3">
        <v>0</v>
      </c>
      <c r="E14" s="3">
        <f t="shared" si="0"/>
        <v>150</v>
      </c>
      <c r="F14" s="3" t="s">
        <v>123</v>
      </c>
      <c r="G14" s="3" t="s">
        <v>70</v>
      </c>
      <c r="H14" s="3" t="s">
        <v>142</v>
      </c>
    </row>
    <row r="15" spans="1:8" x14ac:dyDescent="0.25">
      <c r="A15" s="5" t="s">
        <v>29</v>
      </c>
      <c r="B15" s="5"/>
      <c r="C15" s="5"/>
      <c r="D15" s="5">
        <f>SUM(D9:D14)</f>
        <v>90</v>
      </c>
      <c r="E15" s="5">
        <f>SUM(E9:E14)</f>
        <v>1380</v>
      </c>
      <c r="F15" s="5"/>
      <c r="G15" s="5"/>
      <c r="H15" s="5"/>
    </row>
    <row r="16" spans="1:8" x14ac:dyDescent="0.25">
      <c r="A16" s="5" t="s">
        <v>126</v>
      </c>
      <c r="B16" s="5"/>
      <c r="C16" s="5"/>
      <c r="D16" s="5"/>
      <c r="E16" s="17">
        <f>E15/60</f>
        <v>23</v>
      </c>
      <c r="F16" s="5"/>
      <c r="G16" s="5"/>
      <c r="H16" s="5"/>
    </row>
    <row r="18" spans="1:1" x14ac:dyDescent="0.25">
      <c r="A18" s="6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8" customWidth="1"/>
    <col min="4" max="5" width="13" customWidth="1"/>
    <col min="6" max="6" width="16" customWidth="1"/>
    <col min="7" max="7" width="12" customWidth="1"/>
    <col min="8" max="8" width="70" customWidth="1"/>
  </cols>
  <sheetData>
    <row r="1" spans="1:8" ht="18.75" x14ac:dyDescent="0.3">
      <c r="A1" s="1" t="s">
        <v>100</v>
      </c>
    </row>
    <row r="3" spans="1:8" x14ac:dyDescent="0.25">
      <c r="A3" s="11" t="s">
        <v>17</v>
      </c>
      <c r="B3" t="s">
        <v>27</v>
      </c>
    </row>
    <row r="4" spans="1:8" x14ac:dyDescent="0.25">
      <c r="A4" s="11" t="s">
        <v>101</v>
      </c>
    </row>
    <row r="5" spans="1:8" x14ac:dyDescent="0.25">
      <c r="A5" s="11" t="s">
        <v>103</v>
      </c>
      <c r="B5" t="s">
        <v>104</v>
      </c>
    </row>
    <row r="6" spans="1:8" x14ac:dyDescent="0.25">
      <c r="A6" s="11" t="s">
        <v>105</v>
      </c>
      <c r="B6" t="s">
        <v>106</v>
      </c>
    </row>
    <row r="8" spans="1:8" ht="30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114</v>
      </c>
    </row>
    <row r="9" spans="1:8" x14ac:dyDescent="0.25">
      <c r="A9" s="19">
        <v>46304</v>
      </c>
      <c r="B9" s="20">
        <v>0.66666666666666663</v>
      </c>
      <c r="C9" s="20">
        <v>0.79166666666666663</v>
      </c>
      <c r="D9" s="3">
        <v>0</v>
      </c>
      <c r="E9" s="3">
        <f t="shared" ref="E9:E14" si="0">ROUND(MOD(C9-B9,1)*1440,0)-D9</f>
        <v>180</v>
      </c>
      <c r="F9" s="3" t="s">
        <v>129</v>
      </c>
      <c r="G9" s="3" t="s">
        <v>72</v>
      </c>
      <c r="H9" s="3" t="s">
        <v>143</v>
      </c>
    </row>
    <row r="10" spans="1:8" x14ac:dyDescent="0.25">
      <c r="A10" s="19">
        <v>46305</v>
      </c>
      <c r="B10" s="20">
        <v>0.41666666666666669</v>
      </c>
      <c r="C10" s="20">
        <v>0.5625</v>
      </c>
      <c r="D10" s="3">
        <v>30</v>
      </c>
      <c r="E10" s="3">
        <f t="shared" si="0"/>
        <v>180</v>
      </c>
      <c r="F10" s="3" t="s">
        <v>117</v>
      </c>
      <c r="G10" s="3" t="s">
        <v>72</v>
      </c>
      <c r="H10" s="3" t="s">
        <v>144</v>
      </c>
    </row>
    <row r="11" spans="1:8" x14ac:dyDescent="0.25">
      <c r="A11" s="19">
        <v>46306</v>
      </c>
      <c r="B11" s="20">
        <v>0.70833333333333337</v>
      </c>
      <c r="C11" s="20">
        <v>0.79166666666666663</v>
      </c>
      <c r="D11" s="3">
        <v>0</v>
      </c>
      <c r="E11" s="3">
        <f t="shared" si="0"/>
        <v>120</v>
      </c>
      <c r="F11" s="3" t="s">
        <v>145</v>
      </c>
      <c r="G11" s="3" t="s">
        <v>72</v>
      </c>
      <c r="H11" s="3" t="s">
        <v>146</v>
      </c>
    </row>
    <row r="12" spans="1:8" x14ac:dyDescent="0.25">
      <c r="A12" s="19">
        <v>46307</v>
      </c>
      <c r="B12" s="20">
        <v>0.625</v>
      </c>
      <c r="C12" s="20">
        <v>0.6875</v>
      </c>
      <c r="D12" s="3">
        <v>0</v>
      </c>
      <c r="E12" s="3">
        <f t="shared" si="0"/>
        <v>90</v>
      </c>
      <c r="F12" s="3" t="s">
        <v>115</v>
      </c>
      <c r="G12" s="3" t="s">
        <v>74</v>
      </c>
      <c r="H12" s="3" t="s">
        <v>147</v>
      </c>
    </row>
    <row r="13" spans="1:8" x14ac:dyDescent="0.25">
      <c r="A13" s="19">
        <v>46307</v>
      </c>
      <c r="B13" s="20">
        <v>0.70833333333333337</v>
      </c>
      <c r="C13" s="20">
        <v>0.8125</v>
      </c>
      <c r="D13" s="3">
        <v>0</v>
      </c>
      <c r="E13" s="3">
        <f t="shared" si="0"/>
        <v>150</v>
      </c>
      <c r="F13" s="3" t="s">
        <v>148</v>
      </c>
      <c r="G13" s="3" t="s">
        <v>74</v>
      </c>
      <c r="H13" s="3" t="s">
        <v>149</v>
      </c>
    </row>
    <row r="14" spans="1:8" x14ac:dyDescent="0.25">
      <c r="A14" s="19">
        <v>46307</v>
      </c>
      <c r="B14" s="20">
        <v>0.83333333333333337</v>
      </c>
      <c r="C14" s="20">
        <v>0.875</v>
      </c>
      <c r="D14" s="3">
        <v>0</v>
      </c>
      <c r="E14" s="3">
        <f t="shared" si="0"/>
        <v>60</v>
      </c>
      <c r="F14" s="3" t="s">
        <v>123</v>
      </c>
      <c r="G14" s="3" t="s">
        <v>74</v>
      </c>
      <c r="H14" s="3" t="s">
        <v>150</v>
      </c>
    </row>
    <row r="15" spans="1:8" x14ac:dyDescent="0.25">
      <c r="A15" s="5" t="s">
        <v>29</v>
      </c>
      <c r="B15" s="5"/>
      <c r="C15" s="5"/>
      <c r="D15" s="5">
        <f>SUM(D9:D14)</f>
        <v>30</v>
      </c>
      <c r="E15" s="5">
        <f>SUM(E9:E14)</f>
        <v>780</v>
      </c>
      <c r="F15" s="5"/>
      <c r="G15" s="5"/>
      <c r="H15" s="5"/>
    </row>
    <row r="16" spans="1:8" x14ac:dyDescent="0.25">
      <c r="A16" s="5" t="s">
        <v>126</v>
      </c>
      <c r="B16" s="5"/>
      <c r="C16" s="5"/>
      <c r="D16" s="5"/>
      <c r="E16" s="17">
        <f>E15/60</f>
        <v>13</v>
      </c>
      <c r="F16" s="5"/>
      <c r="G16" s="5"/>
      <c r="H16" s="5"/>
    </row>
    <row r="18" spans="1:1" x14ac:dyDescent="0.25">
      <c r="A18" s="6" t="s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8" customWidth="1"/>
    <col min="4" max="5" width="13" customWidth="1"/>
    <col min="6" max="6" width="16" customWidth="1"/>
    <col min="7" max="7" width="12" customWidth="1"/>
    <col min="8" max="8" width="70" customWidth="1"/>
  </cols>
  <sheetData>
    <row r="1" spans="1:8" ht="18.75" x14ac:dyDescent="0.3">
      <c r="A1" s="1" t="s">
        <v>100</v>
      </c>
    </row>
    <row r="3" spans="1:8" x14ac:dyDescent="0.25">
      <c r="A3" s="11" t="s">
        <v>17</v>
      </c>
      <c r="B3" t="s">
        <v>28</v>
      </c>
    </row>
    <row r="4" spans="1:8" x14ac:dyDescent="0.25">
      <c r="A4" s="11" t="s">
        <v>101</v>
      </c>
    </row>
    <row r="5" spans="1:8" x14ac:dyDescent="0.25">
      <c r="A5" s="11" t="s">
        <v>103</v>
      </c>
      <c r="B5" t="s">
        <v>104</v>
      </c>
    </row>
    <row r="6" spans="1:8" x14ac:dyDescent="0.25">
      <c r="A6" s="11" t="s">
        <v>105</v>
      </c>
      <c r="B6" t="s">
        <v>106</v>
      </c>
    </row>
    <row r="8" spans="1:8" ht="30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114</v>
      </c>
    </row>
    <row r="9" spans="1:8" x14ac:dyDescent="0.25">
      <c r="A9" s="19">
        <v>46304</v>
      </c>
      <c r="B9" s="20">
        <v>0.625</v>
      </c>
      <c r="C9" s="20">
        <v>0.70833333333333337</v>
      </c>
      <c r="D9" s="3">
        <v>0</v>
      </c>
      <c r="E9" s="3">
        <f>ROUND(MOD(C9-B9,1)*1440,0)-D9</f>
        <v>120</v>
      </c>
      <c r="F9" s="3" t="s">
        <v>129</v>
      </c>
      <c r="G9" s="3" t="s">
        <v>78</v>
      </c>
      <c r="H9" s="3" t="s">
        <v>151</v>
      </c>
    </row>
    <row r="10" spans="1:8" x14ac:dyDescent="0.25">
      <c r="A10" s="19">
        <v>46304</v>
      </c>
      <c r="B10" s="20">
        <v>0.8125</v>
      </c>
      <c r="C10" s="20">
        <v>0.95138888888888884</v>
      </c>
      <c r="D10" s="3">
        <v>20</v>
      </c>
      <c r="E10" s="3">
        <f>ROUND(MOD(C10-B10,1)*1440,0)-D10</f>
        <v>180</v>
      </c>
      <c r="F10" s="3" t="s">
        <v>117</v>
      </c>
      <c r="G10" s="3" t="s">
        <v>78</v>
      </c>
      <c r="H10" s="3" t="s">
        <v>152</v>
      </c>
    </row>
    <row r="11" spans="1:8" x14ac:dyDescent="0.25">
      <c r="A11" s="19">
        <v>46306</v>
      </c>
      <c r="B11" s="20">
        <v>0.58333333333333337</v>
      </c>
      <c r="C11" s="20">
        <v>0.77083333333333337</v>
      </c>
      <c r="D11" s="3">
        <v>30</v>
      </c>
      <c r="E11" s="3">
        <f>ROUND(MOD(C11-B11,1)*1440,0)-D11</f>
        <v>240</v>
      </c>
      <c r="F11" s="3" t="s">
        <v>117</v>
      </c>
      <c r="G11" s="3" t="s">
        <v>76</v>
      </c>
      <c r="H11" s="3" t="s">
        <v>153</v>
      </c>
    </row>
    <row r="12" spans="1:8" x14ac:dyDescent="0.25">
      <c r="A12" s="19">
        <v>46307</v>
      </c>
      <c r="B12" s="20">
        <v>0.625</v>
      </c>
      <c r="C12" s="20">
        <v>0.89583333333333337</v>
      </c>
      <c r="D12" s="3">
        <v>30</v>
      </c>
      <c r="E12" s="3">
        <f>ROUND(MOD(C12-B12,1)*1440,0)-D12</f>
        <v>360</v>
      </c>
      <c r="F12" s="3" t="s">
        <v>117</v>
      </c>
      <c r="G12" s="3" t="s">
        <v>76</v>
      </c>
      <c r="H12" s="3" t="s">
        <v>154</v>
      </c>
    </row>
    <row r="13" spans="1:8" x14ac:dyDescent="0.25">
      <c r="A13" s="5" t="s">
        <v>29</v>
      </c>
      <c r="B13" s="5"/>
      <c r="C13" s="5"/>
      <c r="D13" s="5">
        <f>SUM(D9:D12)</f>
        <v>80</v>
      </c>
      <c r="E13" s="5">
        <f>SUM(E9:E12)</f>
        <v>900</v>
      </c>
      <c r="F13" s="5"/>
      <c r="G13" s="5"/>
      <c r="H13" s="5"/>
    </row>
    <row r="14" spans="1:8" x14ac:dyDescent="0.25">
      <c r="A14" s="5" t="s">
        <v>126</v>
      </c>
      <c r="B14" s="5"/>
      <c r="C14" s="5"/>
      <c r="D14" s="5"/>
      <c r="E14" s="17">
        <f>E13/60</f>
        <v>15</v>
      </c>
      <c r="F14" s="5"/>
      <c r="G14" s="5"/>
      <c r="H14" s="5"/>
    </row>
    <row r="16" spans="1:8" x14ac:dyDescent="0.25">
      <c r="A16" s="6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Calculo</vt:lpstr>
      <vt:lpstr>Tareas S9</vt:lpstr>
      <vt:lpstr>Serie</vt:lpstr>
      <vt:lpstr>Texto</vt:lpstr>
      <vt:lpstr>LOGT Vásquez</vt:lpstr>
      <vt:lpstr>LOGT Tubac</vt:lpstr>
      <vt:lpstr>LOGT Montenegro</vt:lpstr>
      <vt:lpstr>LOGT Avilés</vt:lpstr>
      <vt:lpstr>LOGT Figueroa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TUBAC ARREAZA, JONATHAN JAVIER</cp:lastModifiedBy>
  <dcterms:created xsi:type="dcterms:W3CDTF">2026-10-13T04:05:21Z</dcterms:created>
  <dcterms:modified xsi:type="dcterms:W3CDTF">2026-10-13T05:24:03Z</dcterms:modified>
</cp:coreProperties>
</file>