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ontrol\docs\"/>
    </mc:Choice>
  </mc:AlternateContent>
  <xr:revisionPtr revIDLastSave="0" documentId="8_{AB5E2F8A-B238-4171-ADB2-969A451C6C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culo" sheetId="1" r:id="rId1"/>
    <sheet name="Tareas S8" sheetId="2" r:id="rId2"/>
    <sheet name="Text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9" i="3"/>
  <c r="E21" i="2"/>
  <c r="D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G13" i="2"/>
  <c r="G12" i="2"/>
  <c r="G11" i="2"/>
  <c r="G10" i="2"/>
  <c r="G9" i="2"/>
  <c r="G8" i="2"/>
  <c r="G7" i="2"/>
  <c r="G6" i="2"/>
  <c r="D3" i="2"/>
  <c r="F12" i="2" s="1"/>
  <c r="B32" i="1"/>
  <c r="B33" i="1" s="1"/>
  <c r="B30" i="1"/>
  <c r="B31" i="1" s="1"/>
  <c r="B28" i="1"/>
  <c r="B27" i="1"/>
  <c r="B29" i="1" s="1"/>
  <c r="F11" i="2" l="1"/>
  <c r="C19" i="1" s="1"/>
  <c r="E19" i="1" s="1"/>
  <c r="F7" i="2"/>
  <c r="C17" i="1" s="1"/>
  <c r="E17" i="1" s="1"/>
  <c r="F13" i="2"/>
  <c r="F8" i="2"/>
  <c r="C18" i="1" s="1"/>
  <c r="E18" i="1" s="1"/>
  <c r="F14" i="2"/>
  <c r="F9" i="2"/>
  <c r="B34" i="1"/>
  <c r="F10" i="2"/>
  <c r="C20" i="1" s="1"/>
  <c r="E20" i="1" s="1"/>
  <c r="F6" i="2"/>
  <c r="F21" i="2" l="1"/>
  <c r="C16" i="1"/>
  <c r="G20" i="1"/>
  <c r="F20" i="1"/>
  <c r="G18" i="1"/>
  <c r="F18" i="1"/>
  <c r="G17" i="1"/>
  <c r="F17" i="1"/>
  <c r="G19" i="1"/>
  <c r="F19" i="1"/>
  <c r="C21" i="1" l="1"/>
  <c r="E16" i="1"/>
  <c r="E21" i="1" l="1"/>
  <c r="B21" i="1" s="1"/>
  <c r="G16" i="1"/>
  <c r="G21" i="1" s="1"/>
  <c r="C32" i="1" s="1"/>
  <c r="F16" i="1"/>
  <c r="F21" i="1" s="1"/>
  <c r="C27" i="1"/>
  <c r="D20" i="1"/>
  <c r="D19" i="1"/>
  <c r="D17" i="1"/>
  <c r="D16" i="1"/>
  <c r="D18" i="1"/>
  <c r="C29" i="1" l="1"/>
  <c r="D29" i="1" s="1"/>
  <c r="C28" i="1"/>
  <c r="D27" i="1"/>
  <c r="C30" i="1"/>
  <c r="D21" i="1"/>
  <c r="C33" i="1"/>
  <c r="D33" i="1" s="1"/>
  <c r="D32" i="1"/>
  <c r="D28" i="1" l="1"/>
  <c r="C31" i="1"/>
  <c r="C34" i="1"/>
  <c r="D34" i="1" s="1"/>
  <c r="D30" i="1"/>
  <c r="D31" i="1" l="1"/>
  <c r="A5" i="3"/>
  <c r="A7" i="3"/>
</calcChain>
</file>

<file path=xl/sharedStrings.xml><?xml version="1.0" encoding="utf-8"?>
<sst xmlns="http://schemas.openxmlformats.org/spreadsheetml/2006/main" count="101" uniqueCount="82">
  <si>
    <t>Ejecución del presupuesto y del tiempo — corte Sprint 8</t>
  </si>
  <si>
    <t>Línea base (SCRUM-11, SCRUM-24, SCRUM-36)</t>
  </si>
  <si>
    <t>Esfuerzo total estimado (H/H)</t>
  </si>
  <si>
    <t>SCRUM-11, Puntos de Casos de Uso</t>
  </si>
  <si>
    <t>Costo total estimado, K = 1.5</t>
  </si>
  <si>
    <t>SCRUM-11</t>
  </si>
  <si>
    <t>Costo total estimado, K = 2</t>
  </si>
  <si>
    <t>Factor K bajo</t>
  </si>
  <si>
    <t>Multiplica la tarifa horaria</t>
  </si>
  <si>
    <t>Factor K alto</t>
  </si>
  <si>
    <t>Peso de la actividad de implementación</t>
  </si>
  <si>
    <t>Métrica dual, SCRUM-24 y SCRUM-36</t>
  </si>
  <si>
    <t>Horas acumuladas al cierre del Sprint 7 (H/H)</t>
  </si>
  <si>
    <t>Reportado en SCRUM-36</t>
  </si>
  <si>
    <t>Monto ejecutado al cierre del Sprint 7, K = 1.5</t>
  </si>
  <si>
    <t>Horas y monto del Sprint 8 por integrante</t>
  </si>
  <si>
    <t>Integrante</t>
  </si>
  <si>
    <t>Tarifa (Q/h)</t>
  </si>
  <si>
    <t>Horas del S8 (H/H)</t>
  </si>
  <si>
    <t>% de las horas del S8</t>
  </si>
  <si>
    <t>Monto base (Q)</t>
  </si>
  <si>
    <t>Monto K = 1.5 (Q)</t>
  </si>
  <si>
    <t>Monto K = 2 (Q)</t>
  </si>
  <si>
    <t>Pablo Vásquez</t>
  </si>
  <si>
    <t>Jonathan Tubac</t>
  </si>
  <si>
    <t>Juan Francisco Montenegro Aguirre</t>
  </si>
  <si>
    <t>Alejandra Sarai Avilés González</t>
  </si>
  <si>
    <t>Ivana Cristina Figueroa Diemek</t>
  </si>
  <si>
    <t>Total</t>
  </si>
  <si>
    <t>Resultados y variación respecto del corte del Sprint 7</t>
  </si>
  <si>
    <t>Indicador</t>
  </si>
  <si>
    <t>Corte Sprint 7</t>
  </si>
  <si>
    <t>Corte Sprint 8</t>
  </si>
  <si>
    <t>Variación</t>
  </si>
  <si>
    <t>Horas acumuladas (H/H)</t>
  </si>
  <si>
    <t>% del esfuerzo total (ciclo completo)</t>
  </si>
  <si>
    <t>% de la actividad de implementación (40 %)</t>
  </si>
  <si>
    <t>Monto ejecutado, K = 1.5</t>
  </si>
  <si>
    <t>% del costo total, K = 1.5</t>
  </si>
  <si>
    <t>Monto ejecutado, K = 2</t>
  </si>
  <si>
    <t>% del costo total, K = 2</t>
  </si>
  <si>
    <t>% del costo de implementación, K = 1.5</t>
  </si>
  <si>
    <t>Tareas del Sprint 8 en Jira (SCRUM Sprint 3) y horas estimadas</t>
  </si>
  <si>
    <t>Razón horas / SP (tareas con horas estimadas)</t>
  </si>
  <si>
    <t>Clave</t>
  </si>
  <si>
    <t>Tarea</t>
  </si>
  <si>
    <t>Responsable</t>
  </si>
  <si>
    <t>SP</t>
  </si>
  <si>
    <t>Horas estimadas en Jira</t>
  </si>
  <si>
    <t>Horas usadas</t>
  </si>
  <si>
    <t>Origen de las horas</t>
  </si>
  <si>
    <t>SCRUM-37</t>
  </si>
  <si>
    <t>DT-06 · Denominador de cobertura y trinquete de CI</t>
  </si>
  <si>
    <t>SCRUM-38</t>
  </si>
  <si>
    <t>DT-01 · Middleware central de errores y asyncHandler</t>
  </si>
  <si>
    <t>SCRUM-39</t>
  </si>
  <si>
    <t>DT-02 · Precios, descuento e IVA en el servidor (POS)</t>
  </si>
  <si>
    <t>SCRUM-40</t>
  </si>
  <si>
    <t>DT-03 · Unicidad de código de barras y resolución del escaneo</t>
  </si>
  <si>
    <t>SCRUM-41</t>
  </si>
  <si>
    <t>DT-04 · Parámetro de los endpoints producto-proveedor</t>
  </si>
  <si>
    <t>SCRUM-42</t>
  </si>
  <si>
    <t>DT-05 · Modelo de autorización en inventario y proveedores</t>
  </si>
  <si>
    <t>SCRUM-43</t>
  </si>
  <si>
    <t>DT-12 · SSRF del probador de integraciones</t>
  </si>
  <si>
    <t>SCRUM-44</t>
  </si>
  <si>
    <t>DT-13 · Límite de intentos en autenticación y endpoints costosos</t>
  </si>
  <si>
    <t>SCRUM-45</t>
  </si>
  <si>
    <t>DT-14 · Cabeceras de seguridad HTTP</t>
  </si>
  <si>
    <t>SCRUM-52</t>
  </si>
  <si>
    <t>Pruebas de seguridad automatizadas con OWASP ZAP</t>
  </si>
  <si>
    <t>SCRUM-53</t>
  </si>
  <si>
    <t>Pruebas de volumen e inundación sobre la base de datos</t>
  </si>
  <si>
    <t>SCRUM-54</t>
  </si>
  <si>
    <t>Sesiones de usabilidad sobre las pantallas de la Fase 2</t>
  </si>
  <si>
    <t>SCRUM-55</t>
  </si>
  <si>
    <t>Análisis de hallazgos de usabilidad y backlog de mejoras</t>
  </si>
  <si>
    <t>SCRUM-56</t>
  </si>
  <si>
    <t>Análisis de requisitos no funcionales y plan de refactorización</t>
  </si>
  <si>
    <t>SCRUM-57</t>
  </si>
  <si>
    <t>Ejecución del presupuesto y del tiempo del proyecto</t>
  </si>
  <si>
    <t>Texto para el informe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</si>
</sst>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0;\(#,##0\);&quot;-&quot;"/>
    <numFmt numFmtId="166" formatCode="#,##0.00;\(#,##0.00\);&quot;-&quot;"/>
    <numFmt numFmtId="167" formatCode="&quot;Q &quot;#,##0.00;\(&quot;Q &quot;#,##0.00\);&quot;-&quot;"/>
    <numFmt numFmtId="168" formatCode="0.0"/>
    <numFmt numFmtId="169" formatCode="0.00%;\(0.00%\);&quot;-&quot;"/>
    <numFmt numFmtId="170" formatCode="\+0.00&quot; p.p.&quot;;\-0.00&quot; p.p.&quot;;&quot;-&quot;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color rgb="FF595959"/>
      <name val="Arial"/>
    </font>
    <font>
      <b/>
      <sz val="11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sz val="11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168" fontId="6" fillId="0" borderId="1" xfId="0" applyNumberFormat="1" applyFont="1" applyBorder="1"/>
    <xf numFmtId="169" fontId="6" fillId="0" borderId="1" xfId="0" applyNumberFormat="1" applyFont="1" applyBorder="1"/>
    <xf numFmtId="165" fontId="6" fillId="0" borderId="1" xfId="0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/>
    <xf numFmtId="169" fontId="5" fillId="0" borderId="1" xfId="0" applyNumberFormat="1" applyFont="1" applyBorder="1"/>
    <xf numFmtId="167" fontId="5" fillId="0" borderId="1" xfId="0" applyNumberFormat="1" applyFont="1" applyBorder="1"/>
    <xf numFmtId="0" fontId="3" fillId="3" borderId="1" xfId="0" applyFont="1" applyFill="1" applyBorder="1"/>
    <xf numFmtId="167" fontId="3" fillId="3" borderId="1" xfId="0" applyNumberFormat="1" applyFont="1" applyFill="1" applyBorder="1"/>
    <xf numFmtId="165" fontId="3" fillId="3" borderId="1" xfId="0" applyNumberFormat="1" applyFont="1" applyFill="1" applyBorder="1"/>
    <xf numFmtId="169" fontId="3" fillId="3" borderId="1" xfId="0" applyNumberFormat="1" applyFont="1" applyFill="1" applyBorder="1"/>
    <xf numFmtId="165" fontId="5" fillId="0" borderId="1" xfId="0" applyNumberFormat="1" applyFont="1" applyBorder="1"/>
    <xf numFmtId="170" fontId="5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1" fontId="6" fillId="0" borderId="1" xfId="0" applyNumberFormat="1" applyFont="1" applyBorder="1"/>
    <xf numFmtId="0" fontId="5" fillId="3" borderId="1" xfId="0" applyFont="1" applyFill="1" applyBorder="1"/>
    <xf numFmtId="1" fontId="3" fillId="3" borderId="1" xfId="0" applyNumberFormat="1" applyFont="1" applyFill="1" applyBorder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6" workbookViewId="0">
      <selection activeCell="F5" sqref="F5"/>
    </sheetView>
  </sheetViews>
  <sheetFormatPr baseColWidth="10" defaultColWidth="9.140625" defaultRowHeight="15" x14ac:dyDescent="0.25"/>
  <cols>
    <col min="1" max="1" width="46" customWidth="1"/>
    <col min="2" max="2" width="16" customWidth="1"/>
    <col min="3" max="3" width="17" customWidth="1"/>
    <col min="4" max="5" width="16" customWidth="1"/>
    <col min="6" max="7" width="17" customWidth="1"/>
  </cols>
  <sheetData>
    <row r="1" spans="1:7" ht="18" x14ac:dyDescent="0.25">
      <c r="A1" s="1" t="s">
        <v>0</v>
      </c>
    </row>
    <row r="2" spans="1:7" x14ac:dyDescent="0.25">
      <c r="A2" s="2"/>
    </row>
    <row r="4" spans="1:7" x14ac:dyDescent="0.25">
      <c r="A4" s="3" t="s">
        <v>1</v>
      </c>
    </row>
    <row r="5" spans="1:7" x14ac:dyDescent="0.25">
      <c r="A5" s="4" t="s">
        <v>2</v>
      </c>
      <c r="B5" s="5">
        <v>7613.67</v>
      </c>
      <c r="C5" s="2" t="s">
        <v>3</v>
      </c>
    </row>
    <row r="6" spans="1:7" x14ac:dyDescent="0.25">
      <c r="A6" s="4" t="s">
        <v>4</v>
      </c>
      <c r="B6" s="6">
        <v>511638.46</v>
      </c>
      <c r="C6" s="2" t="s">
        <v>5</v>
      </c>
    </row>
    <row r="7" spans="1:7" x14ac:dyDescent="0.25">
      <c r="A7" s="4" t="s">
        <v>6</v>
      </c>
      <c r="B7" s="6">
        <v>682184.62</v>
      </c>
      <c r="C7" s="2" t="s">
        <v>5</v>
      </c>
    </row>
    <row r="8" spans="1:7" x14ac:dyDescent="0.25">
      <c r="A8" s="4" t="s">
        <v>7</v>
      </c>
      <c r="B8" s="7">
        <v>1.5</v>
      </c>
      <c r="C8" s="2" t="s">
        <v>8</v>
      </c>
    </row>
    <row r="9" spans="1:7" x14ac:dyDescent="0.25">
      <c r="A9" s="4" t="s">
        <v>9</v>
      </c>
      <c r="B9" s="7">
        <v>2</v>
      </c>
      <c r="C9" s="2" t="s">
        <v>8</v>
      </c>
    </row>
    <row r="10" spans="1:7" x14ac:dyDescent="0.25">
      <c r="A10" s="4" t="s">
        <v>10</v>
      </c>
      <c r="B10" s="8">
        <v>0.4</v>
      </c>
      <c r="C10" s="2" t="s">
        <v>11</v>
      </c>
    </row>
    <row r="11" spans="1:7" x14ac:dyDescent="0.25">
      <c r="A11" s="4" t="s">
        <v>12</v>
      </c>
      <c r="B11" s="9">
        <v>721</v>
      </c>
      <c r="C11" s="2" t="s">
        <v>13</v>
      </c>
    </row>
    <row r="12" spans="1:7" x14ac:dyDescent="0.25">
      <c r="A12" s="4" t="s">
        <v>14</v>
      </c>
      <c r="B12" s="6">
        <v>48701.7</v>
      </c>
      <c r="C12" s="2" t="s">
        <v>13</v>
      </c>
    </row>
    <row r="14" spans="1:7" x14ac:dyDescent="0.25">
      <c r="A14" s="3" t="s">
        <v>15</v>
      </c>
    </row>
    <row r="15" spans="1:7" ht="32.1" customHeight="1" x14ac:dyDescent="0.25">
      <c r="A15" s="10" t="s">
        <v>16</v>
      </c>
      <c r="B15" s="10" t="s">
        <v>17</v>
      </c>
      <c r="C15" s="10" t="s">
        <v>18</v>
      </c>
      <c r="D15" s="10" t="s">
        <v>19</v>
      </c>
      <c r="E15" s="10" t="s">
        <v>20</v>
      </c>
      <c r="F15" s="10" t="s">
        <v>21</v>
      </c>
      <c r="G15" s="10" t="s">
        <v>22</v>
      </c>
    </row>
    <row r="16" spans="1:7" x14ac:dyDescent="0.25">
      <c r="A16" s="4" t="s">
        <v>23</v>
      </c>
      <c r="B16" s="6">
        <v>57</v>
      </c>
      <c r="C16" s="11">
        <f>SUMIF('Tareas S8'!$C$6:$C$20,A16,'Tareas S8'!$F$6:$F$20)</f>
        <v>16</v>
      </c>
      <c r="D16" s="12">
        <f>IF($C$21=0,0,C16/$C$21)</f>
        <v>0.17777777777777778</v>
      </c>
      <c r="E16" s="13">
        <f>C16*B16</f>
        <v>912</v>
      </c>
      <c r="F16" s="13">
        <f>E16*$B$8</f>
        <v>1368</v>
      </c>
      <c r="G16" s="13">
        <f>E16*$B$9</f>
        <v>1824</v>
      </c>
    </row>
    <row r="17" spans="1:7" x14ac:dyDescent="0.25">
      <c r="A17" s="4" t="s">
        <v>24</v>
      </c>
      <c r="B17" s="6">
        <v>51</v>
      </c>
      <c r="C17" s="11">
        <f>SUMIF('Tareas S8'!$C$6:$C$20,A17,'Tareas S8'!$F$6:$F$20)</f>
        <v>22</v>
      </c>
      <c r="D17" s="12">
        <f>IF($C$21=0,0,C17/$C$21)</f>
        <v>0.24444444444444444</v>
      </c>
      <c r="E17" s="13">
        <f>C17*B17</f>
        <v>1122</v>
      </c>
      <c r="F17" s="13">
        <f>E17*$B$8</f>
        <v>1683</v>
      </c>
      <c r="G17" s="13">
        <f>E17*$B$9</f>
        <v>2244</v>
      </c>
    </row>
    <row r="18" spans="1:7" x14ac:dyDescent="0.25">
      <c r="A18" s="4" t="s">
        <v>25</v>
      </c>
      <c r="B18" s="6">
        <v>46</v>
      </c>
      <c r="C18" s="11">
        <f>SUMIF('Tareas S8'!$C$6:$C$20,A18,'Tareas S8'!$F$6:$F$20)</f>
        <v>18</v>
      </c>
      <c r="D18" s="12">
        <f>IF($C$21=0,0,C18/$C$21)</f>
        <v>0.2</v>
      </c>
      <c r="E18" s="13">
        <f>C18*B18</f>
        <v>828</v>
      </c>
      <c r="F18" s="13">
        <f>E18*$B$8</f>
        <v>1242</v>
      </c>
      <c r="G18" s="13">
        <f>E18*$B$9</f>
        <v>1656</v>
      </c>
    </row>
    <row r="19" spans="1:7" x14ac:dyDescent="0.25">
      <c r="A19" s="4" t="s">
        <v>26</v>
      </c>
      <c r="B19" s="6">
        <v>36</v>
      </c>
      <c r="C19" s="11">
        <f>SUMIF('Tareas S8'!$C$6:$C$20,A19,'Tareas S8'!$F$6:$F$20)</f>
        <v>19</v>
      </c>
      <c r="D19" s="12">
        <f>IF($C$21=0,0,C19/$C$21)</f>
        <v>0.21111111111111111</v>
      </c>
      <c r="E19" s="13">
        <f>C19*B19</f>
        <v>684</v>
      </c>
      <c r="F19" s="13">
        <f>E19*$B$8</f>
        <v>1026</v>
      </c>
      <c r="G19" s="13">
        <f>E19*$B$9</f>
        <v>1368</v>
      </c>
    </row>
    <row r="20" spans="1:7" x14ac:dyDescent="0.25">
      <c r="A20" s="4" t="s">
        <v>27</v>
      </c>
      <c r="B20" s="6">
        <v>34</v>
      </c>
      <c r="C20" s="11">
        <f>SUMIF('Tareas S8'!$C$6:$C$20,A20,'Tareas S8'!$F$6:$F$20)</f>
        <v>15</v>
      </c>
      <c r="D20" s="12">
        <f>IF($C$21=0,0,C20/$C$21)</f>
        <v>0.16666666666666666</v>
      </c>
      <c r="E20" s="13">
        <f>C20*B20</f>
        <v>510</v>
      </c>
      <c r="F20" s="13">
        <f>E20*$B$8</f>
        <v>765</v>
      </c>
      <c r="G20" s="13">
        <f>E20*$B$9</f>
        <v>1020</v>
      </c>
    </row>
    <row r="21" spans="1:7" x14ac:dyDescent="0.25">
      <c r="A21" s="14" t="s">
        <v>28</v>
      </c>
      <c r="B21" s="15">
        <f>IF(C21=0,0,E21/C21)</f>
        <v>45.06666666666667</v>
      </c>
      <c r="C21" s="16">
        <f>SUM(C16:C20)</f>
        <v>90</v>
      </c>
      <c r="D21" s="17">
        <f>SUM(D16:D20)</f>
        <v>1</v>
      </c>
      <c r="E21" s="15">
        <f>SUM(E16:E20)</f>
        <v>4056</v>
      </c>
      <c r="F21" s="15">
        <f>SUM(F16:F20)</f>
        <v>6084</v>
      </c>
      <c r="G21" s="15">
        <f>SUM(G16:G20)</f>
        <v>8112</v>
      </c>
    </row>
    <row r="22" spans="1:7" x14ac:dyDescent="0.25">
      <c r="A22" s="2"/>
    </row>
    <row r="23" spans="1:7" x14ac:dyDescent="0.25">
      <c r="A23" s="4"/>
      <c r="B23" s="18"/>
    </row>
    <row r="25" spans="1:7" x14ac:dyDescent="0.25">
      <c r="A25" s="3" t="s">
        <v>29</v>
      </c>
    </row>
    <row r="26" spans="1:7" ht="32.1" customHeight="1" x14ac:dyDescent="0.25">
      <c r="A26" s="10" t="s">
        <v>30</v>
      </c>
      <c r="B26" s="10" t="s">
        <v>31</v>
      </c>
      <c r="C26" s="10" t="s">
        <v>32</v>
      </c>
      <c r="D26" s="10" t="s">
        <v>33</v>
      </c>
    </row>
    <row r="27" spans="1:7" x14ac:dyDescent="0.25">
      <c r="A27" s="4" t="s">
        <v>34</v>
      </c>
      <c r="B27" s="18">
        <f>B11</f>
        <v>721</v>
      </c>
      <c r="C27" s="18">
        <f>B11+C21</f>
        <v>811</v>
      </c>
      <c r="D27" s="18">
        <f>C27-B27</f>
        <v>90</v>
      </c>
    </row>
    <row r="28" spans="1:7" x14ac:dyDescent="0.25">
      <c r="A28" s="4" t="s">
        <v>35</v>
      </c>
      <c r="B28" s="12">
        <f>B27/$B$5</f>
        <v>9.4698089095009375E-2</v>
      </c>
      <c r="C28" s="12">
        <f>C27/$B$5</f>
        <v>0.10651893239397031</v>
      </c>
      <c r="D28" s="19">
        <f>(C28-B28)*100</f>
        <v>1.1820843298960937</v>
      </c>
    </row>
    <row r="29" spans="1:7" x14ac:dyDescent="0.25">
      <c r="A29" s="4" t="s">
        <v>36</v>
      </c>
      <c r="B29" s="12">
        <f>B27/($B$5*$B$10)</f>
        <v>0.23674522273752341</v>
      </c>
      <c r="C29" s="12">
        <f>C27/($B$5*$B$10)</f>
        <v>0.26629733098492575</v>
      </c>
      <c r="D29" s="19">
        <f>(C29-B29)*100</f>
        <v>2.9552108247402344</v>
      </c>
    </row>
    <row r="30" spans="1:7" x14ac:dyDescent="0.25">
      <c r="A30" s="4" t="s">
        <v>37</v>
      </c>
      <c r="B30" s="13">
        <f>B12</f>
        <v>48701.7</v>
      </c>
      <c r="C30" s="13">
        <f>B12+F21</f>
        <v>54785.7</v>
      </c>
      <c r="D30" s="13">
        <f>C30-B30</f>
        <v>6084</v>
      </c>
    </row>
    <row r="31" spans="1:7" x14ac:dyDescent="0.25">
      <c r="A31" s="4" t="s">
        <v>38</v>
      </c>
      <c r="B31" s="12">
        <f>B30/$B$6</f>
        <v>9.5187722987048307E-2</v>
      </c>
      <c r="C31" s="12">
        <f>C30/$B$6</f>
        <v>0.10707893226009631</v>
      </c>
      <c r="D31" s="19">
        <f>(C31-B31)*100</f>
        <v>1.1891209273048</v>
      </c>
    </row>
    <row r="32" spans="1:7" x14ac:dyDescent="0.25">
      <c r="A32" s="4" t="s">
        <v>39</v>
      </c>
      <c r="B32" s="13">
        <f>B12/$B$8*$B$9</f>
        <v>64935.6</v>
      </c>
      <c r="C32" s="13">
        <f>B32+G21</f>
        <v>73047.600000000006</v>
      </c>
      <c r="D32" s="13">
        <f>C32-B32</f>
        <v>8112.0000000000073</v>
      </c>
    </row>
    <row r="33" spans="1:4" x14ac:dyDescent="0.25">
      <c r="A33" s="4" t="s">
        <v>40</v>
      </c>
      <c r="B33" s="12">
        <f>B32/$B$7</f>
        <v>9.5187722056823854E-2</v>
      </c>
      <c r="C33" s="12">
        <f>C32/$B$7</f>
        <v>0.10707893121366473</v>
      </c>
      <c r="D33" s="19">
        <f>(C33-B33)*100</f>
        <v>1.1891209156840874</v>
      </c>
    </row>
    <row r="34" spans="1:4" x14ac:dyDescent="0.25">
      <c r="A34" s="4" t="s">
        <v>41</v>
      </c>
      <c r="B34" s="12">
        <f>B30/($B$6*$B$10)</f>
        <v>0.23796930746762074</v>
      </c>
      <c r="C34" s="12">
        <f>C30/($B$6*$B$10)</f>
        <v>0.26769733065024076</v>
      </c>
      <c r="D34" s="19">
        <f>(C34-B34)*100</f>
        <v>2.9728023182620023</v>
      </c>
    </row>
    <row r="35" spans="1:4" x14ac:dyDescent="0.25">
      <c r="A3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B30" sqref="B30"/>
    </sheetView>
  </sheetViews>
  <sheetFormatPr baseColWidth="10" defaultColWidth="9.140625" defaultRowHeight="15" x14ac:dyDescent="0.25"/>
  <cols>
    <col min="1" max="1" width="11" customWidth="1"/>
    <col min="2" max="2" width="62" customWidth="1"/>
    <col min="3" max="3" width="34" customWidth="1"/>
    <col min="4" max="4" width="7" customWidth="1"/>
    <col min="5" max="5" width="14" customWidth="1"/>
    <col min="6" max="6" width="12" customWidth="1"/>
    <col min="7" max="7" width="20" customWidth="1"/>
  </cols>
  <sheetData>
    <row r="1" spans="1:7" ht="18" x14ac:dyDescent="0.25">
      <c r="A1" s="1" t="s">
        <v>42</v>
      </c>
    </row>
    <row r="2" spans="1:7" x14ac:dyDescent="0.25">
      <c r="A2" s="2"/>
    </row>
    <row r="3" spans="1:7" x14ac:dyDescent="0.25">
      <c r="A3" s="20" t="s">
        <v>43</v>
      </c>
      <c r="D3" s="21">
        <f>SUM(E6:E20)/SUMIFS(D6:D20,E6:E20,"&lt;&gt;")</f>
        <v>1.5769230769230769</v>
      </c>
    </row>
    <row r="5" spans="1:7" ht="32.1" customHeight="1" x14ac:dyDescent="0.25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</row>
    <row r="6" spans="1:7" x14ac:dyDescent="0.25">
      <c r="A6" s="4" t="s">
        <v>51</v>
      </c>
      <c r="B6" s="4" t="s">
        <v>52</v>
      </c>
      <c r="C6" s="4" t="s">
        <v>23</v>
      </c>
      <c r="D6" s="22">
        <v>5</v>
      </c>
      <c r="E6" s="22"/>
      <c r="F6" s="18">
        <f t="shared" ref="F6:F20" si="0">IF(E6="",ROUND(D6*$D$3,0),E6)</f>
        <v>8</v>
      </c>
      <c r="G6" s="4" t="str">
        <f t="shared" ref="G6:G20" si="1">IF(E6="","Derivada de SP","Estimación de Jira")</f>
        <v>Derivada de SP</v>
      </c>
    </row>
    <row r="7" spans="1:7" x14ac:dyDescent="0.25">
      <c r="A7" s="4" t="s">
        <v>53</v>
      </c>
      <c r="B7" s="4" t="s">
        <v>54</v>
      </c>
      <c r="C7" s="4" t="s">
        <v>24</v>
      </c>
      <c r="D7" s="22">
        <v>3</v>
      </c>
      <c r="E7" s="22"/>
      <c r="F7" s="18">
        <f t="shared" si="0"/>
        <v>5</v>
      </c>
      <c r="G7" s="4" t="str">
        <f t="shared" si="1"/>
        <v>Derivada de SP</v>
      </c>
    </row>
    <row r="8" spans="1:7" x14ac:dyDescent="0.25">
      <c r="A8" s="4" t="s">
        <v>55</v>
      </c>
      <c r="B8" s="4" t="s">
        <v>56</v>
      </c>
      <c r="C8" s="4" t="s">
        <v>25</v>
      </c>
      <c r="D8" s="22">
        <v>5</v>
      </c>
      <c r="E8" s="22"/>
      <c r="F8" s="18">
        <f t="shared" si="0"/>
        <v>8</v>
      </c>
      <c r="G8" s="4" t="str">
        <f t="shared" si="1"/>
        <v>Derivada de SP</v>
      </c>
    </row>
    <row r="9" spans="1:7" x14ac:dyDescent="0.25">
      <c r="A9" s="4" t="s">
        <v>57</v>
      </c>
      <c r="B9" s="4" t="s">
        <v>58</v>
      </c>
      <c r="C9" s="4" t="s">
        <v>25</v>
      </c>
      <c r="D9" s="22">
        <v>3</v>
      </c>
      <c r="E9" s="22"/>
      <c r="F9" s="18">
        <f t="shared" si="0"/>
        <v>5</v>
      </c>
      <c r="G9" s="4" t="str">
        <f t="shared" si="1"/>
        <v>Derivada de SP</v>
      </c>
    </row>
    <row r="10" spans="1:7" x14ac:dyDescent="0.25">
      <c r="A10" s="4" t="s">
        <v>59</v>
      </c>
      <c r="B10" s="4" t="s">
        <v>60</v>
      </c>
      <c r="C10" s="4" t="s">
        <v>27</v>
      </c>
      <c r="D10" s="22">
        <v>1</v>
      </c>
      <c r="E10" s="22"/>
      <c r="F10" s="18">
        <f t="shared" si="0"/>
        <v>2</v>
      </c>
      <c r="G10" s="4" t="str">
        <f t="shared" si="1"/>
        <v>Derivada de SP</v>
      </c>
    </row>
    <row r="11" spans="1:7" x14ac:dyDescent="0.25">
      <c r="A11" s="4" t="s">
        <v>61</v>
      </c>
      <c r="B11" s="4" t="s">
        <v>62</v>
      </c>
      <c r="C11" s="4" t="s">
        <v>26</v>
      </c>
      <c r="D11" s="22">
        <v>5</v>
      </c>
      <c r="E11" s="22"/>
      <c r="F11" s="18">
        <f t="shared" si="0"/>
        <v>8</v>
      </c>
      <c r="G11" s="4" t="str">
        <f t="shared" si="1"/>
        <v>Derivada de SP</v>
      </c>
    </row>
    <row r="12" spans="1:7" x14ac:dyDescent="0.25">
      <c r="A12" s="4" t="s">
        <v>63</v>
      </c>
      <c r="B12" s="4" t="s">
        <v>64</v>
      </c>
      <c r="C12" s="4" t="s">
        <v>27</v>
      </c>
      <c r="D12" s="22">
        <v>3</v>
      </c>
      <c r="E12" s="22"/>
      <c r="F12" s="18">
        <f t="shared" si="0"/>
        <v>5</v>
      </c>
      <c r="G12" s="4" t="str">
        <f t="shared" si="1"/>
        <v>Derivada de SP</v>
      </c>
    </row>
    <row r="13" spans="1:7" x14ac:dyDescent="0.25">
      <c r="A13" s="4" t="s">
        <v>65</v>
      </c>
      <c r="B13" s="4" t="s">
        <v>66</v>
      </c>
      <c r="C13" s="4" t="s">
        <v>24</v>
      </c>
      <c r="D13" s="22">
        <v>3</v>
      </c>
      <c r="E13" s="22"/>
      <c r="F13" s="18">
        <f t="shared" si="0"/>
        <v>5</v>
      </c>
      <c r="G13" s="4" t="str">
        <f t="shared" si="1"/>
        <v>Derivada de SP</v>
      </c>
    </row>
    <row r="14" spans="1:7" x14ac:dyDescent="0.25">
      <c r="A14" s="4" t="s">
        <v>67</v>
      </c>
      <c r="B14" s="4" t="s">
        <v>68</v>
      </c>
      <c r="C14" s="4" t="s">
        <v>26</v>
      </c>
      <c r="D14" s="22">
        <v>2</v>
      </c>
      <c r="E14" s="22"/>
      <c r="F14" s="18">
        <f t="shared" si="0"/>
        <v>3</v>
      </c>
      <c r="G14" s="4" t="str">
        <f t="shared" si="1"/>
        <v>Derivada de SP</v>
      </c>
    </row>
    <row r="15" spans="1:7" x14ac:dyDescent="0.25">
      <c r="A15" s="4" t="s">
        <v>69</v>
      </c>
      <c r="B15" s="4" t="s">
        <v>70</v>
      </c>
      <c r="C15" s="4" t="s">
        <v>23</v>
      </c>
      <c r="D15" s="22">
        <v>5</v>
      </c>
      <c r="E15" s="22">
        <v>8</v>
      </c>
      <c r="F15" s="18">
        <f t="shared" si="0"/>
        <v>8</v>
      </c>
      <c r="G15" s="4" t="str">
        <f t="shared" si="1"/>
        <v>Estimación de Jira</v>
      </c>
    </row>
    <row r="16" spans="1:7" x14ac:dyDescent="0.25">
      <c r="A16" s="4" t="s">
        <v>71</v>
      </c>
      <c r="B16" s="4" t="s">
        <v>72</v>
      </c>
      <c r="C16" s="4" t="s">
        <v>24</v>
      </c>
      <c r="D16" s="22">
        <v>5</v>
      </c>
      <c r="E16" s="22">
        <v>8</v>
      </c>
      <c r="F16" s="18">
        <f t="shared" si="0"/>
        <v>8</v>
      </c>
      <c r="G16" s="4" t="str">
        <f t="shared" si="1"/>
        <v>Estimación de Jira</v>
      </c>
    </row>
    <row r="17" spans="1:7" x14ac:dyDescent="0.25">
      <c r="A17" s="4" t="s">
        <v>73</v>
      </c>
      <c r="B17" s="4" t="s">
        <v>74</v>
      </c>
      <c r="C17" s="4" t="s">
        <v>26</v>
      </c>
      <c r="D17" s="22">
        <v>5</v>
      </c>
      <c r="E17" s="22">
        <v>8</v>
      </c>
      <c r="F17" s="18">
        <f t="shared" si="0"/>
        <v>8</v>
      </c>
      <c r="G17" s="4" t="str">
        <f t="shared" si="1"/>
        <v>Estimación de Jira</v>
      </c>
    </row>
    <row r="18" spans="1:7" x14ac:dyDescent="0.25">
      <c r="A18" s="4" t="s">
        <v>75</v>
      </c>
      <c r="B18" s="4" t="s">
        <v>76</v>
      </c>
      <c r="C18" s="4" t="s">
        <v>25</v>
      </c>
      <c r="D18" s="22">
        <v>3</v>
      </c>
      <c r="E18" s="22">
        <v>5</v>
      </c>
      <c r="F18" s="18">
        <f t="shared" si="0"/>
        <v>5</v>
      </c>
      <c r="G18" s="4" t="str">
        <f t="shared" si="1"/>
        <v>Estimación de Jira</v>
      </c>
    </row>
    <row r="19" spans="1:7" x14ac:dyDescent="0.25">
      <c r="A19" s="4" t="s">
        <v>77</v>
      </c>
      <c r="B19" s="4" t="s">
        <v>78</v>
      </c>
      <c r="C19" s="4" t="s">
        <v>27</v>
      </c>
      <c r="D19" s="22">
        <v>5</v>
      </c>
      <c r="E19" s="22">
        <v>8</v>
      </c>
      <c r="F19" s="18">
        <f t="shared" si="0"/>
        <v>8</v>
      </c>
      <c r="G19" s="4" t="str">
        <f t="shared" si="1"/>
        <v>Estimación de Jira</v>
      </c>
    </row>
    <row r="20" spans="1:7" x14ac:dyDescent="0.25">
      <c r="A20" s="4" t="s">
        <v>79</v>
      </c>
      <c r="B20" s="4" t="s">
        <v>80</v>
      </c>
      <c r="C20" s="4" t="s">
        <v>24</v>
      </c>
      <c r="D20" s="22">
        <v>3</v>
      </c>
      <c r="E20" s="22">
        <v>4</v>
      </c>
      <c r="F20" s="18">
        <f t="shared" si="0"/>
        <v>4</v>
      </c>
      <c r="G20" s="4" t="str">
        <f t="shared" si="1"/>
        <v>Estimación de Jira</v>
      </c>
    </row>
    <row r="21" spans="1:7" x14ac:dyDescent="0.25">
      <c r="A21" s="14" t="s">
        <v>28</v>
      </c>
      <c r="B21" s="23"/>
      <c r="C21" s="23"/>
      <c r="D21" s="24">
        <f>SUM(D6:D20)</f>
        <v>56</v>
      </c>
      <c r="E21" s="16">
        <f>SUM(E6:E20)</f>
        <v>41</v>
      </c>
      <c r="F21" s="16">
        <f>SUM(F6:F20)</f>
        <v>90</v>
      </c>
      <c r="G21" s="23"/>
    </row>
    <row r="23" spans="1:7" x14ac:dyDescent="0.25">
      <c r="A2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E3" sqref="E3"/>
    </sheetView>
  </sheetViews>
  <sheetFormatPr baseColWidth="10" defaultColWidth="9.140625" defaultRowHeight="15" x14ac:dyDescent="0.25"/>
  <cols>
    <col min="1" max="1" width="130" customWidth="1"/>
  </cols>
  <sheetData>
    <row r="1" spans="1:1" ht="18" x14ac:dyDescent="0.25">
      <c r="A1" s="1" t="s">
        <v>81</v>
      </c>
    </row>
    <row r="3" spans="1:1" ht="75" customHeight="1" x14ac:dyDescent="0.25">
      <c r="A3" s="25" t="str">
        <f>"En el Sprint 8 se registran "&amp;TEXT(Calculo!C21,"#,##0")&amp;" H/H,. Con ello el equipo acumula "&amp;TEXT(Calculo!C27,"#,##0")&amp;" H/H, equivalentes al "&amp;TEXT(Calculo!C28,"0.00%")&amp;" del esfuerzo total estimado de "&amp;TEXT(Calculo!B5,"#,##0.00")&amp;" H/H, un avance de "&amp;TEXT(Calculo!D28,"0.00")&amp;" puntos porcentuales respecto del corte del Sprint 7 ("&amp;TEXT(Calculo!B28,"0.00%")&amp;")."</f>
        <v>En el Sprint 8 se registran 90 H/H,. Con ello el equipo acumula 811 H/H, equivalentes al 10.65% del esfuerzo total estimado de 7,613.67 H/H, un avance de 1.18 puntos porcentuales respecto del corte del Sprint 7 (9.47%).</v>
      </c>
    </row>
    <row r="5" spans="1:1" ht="75" customHeight="1" x14ac:dyDescent="0.25">
      <c r="A5" s="25" t="str">
        <f>"Con la tarifa individual de cada integrante, el Sprint 8 suma Q "&amp;TEXT(Calculo!F21,"#,##0.00")&amp;" con K = 1.5, y el monto ejecutado acumulado asciende a Q "&amp;TEXT(Calculo!C30,"#,##0.00")&amp;", el "&amp;TEXT(Calculo!C31,"0.00%")&amp;" del costo total estimado (Q "&amp;TEXT(Calculo!B6,"#,##0.00")&amp;"). Con K = 2 son Q "&amp;TEXT(Calculo!C32,"#,##0.00")&amp;" sobre Q "&amp;TEXT(Calculo!B7,"#,##0.00")&amp;", la misma proporción. Frente al Sprint 7, el porcentaje de costo avanza "&amp;TEXT(Calculo!D31,"0.00")&amp;" puntos porcentuales."</f>
        <v>Con la tarifa individual de cada integrante, el Sprint 8 suma Q 6,084.00 con K = 1.5, y el monto ejecutado acumulado asciende a Q 54,785.70, el 10.71% del costo total estimado (Q 511,638.46). Con K = 2 son Q 73,047.60 sobre Q 682,184.62, la misma proporción. Frente al Sprint 7, el porcentaje de costo avanza 1.19 puntos porcentuales.</v>
      </c>
    </row>
    <row r="7" spans="1:1" ht="75" customHeight="1" x14ac:dyDescent="0.25">
      <c r="A7" s="25" t="str">
        <f>"Métrica dual: frente al esfuerzo de ciclo completo del PCU se ha consumido el "&amp;TEXT(Calculo!C28,"0.00%")&amp;"; frente a la actividad de implementación (40 % del esfuerzo, "&amp;TEXT(Calculo!B5*Calculo!B10,"#,##0.00")&amp;" H/H) el consumo es del "&amp;TEXT(Calculo!C29,"0.00%")&amp;", y en costo del "&amp;TEXT(Calculo!C34,"0.00%")&amp;"."</f>
        <v>Métrica dual: frente al esfuerzo de ciclo completo del PCU se ha consumido el 10.65%; frente a la actividad de implementación (40 % del esfuerzo, 3,045.47 H/H) el consumo es del 26.63%, y en costo del 26.77%.</v>
      </c>
    </row>
    <row r="9" spans="1:1" ht="75" customHeight="1" x14ac:dyDescent="0.25">
      <c r="A9" s="25" t="str">
        <f>_xlfn._LONGTEXT("Interpretación: el método de Karner está calibrado para el ciclo de vida profesional completo (análisis, diseño, implementación, pruebas, despliegue y gestión), por lo que opera como cota superior. Un porcentaje bajo frente al PCU, con un backlog funciona","l prácticamente completo, no indica un error de cálculo: refleja que la estimación incluye actividades que un proyecto académico no ejecuta con esa intensidad. El porcentaje frente a la implementación es la lectura más cercana al trabajo realizado.")</f>
        <v>Interpretación: el método de Karner está calibrado para el ciclo de vida profesional completo (análisis, diseño, implementación, pruebas, despliegue y gestión), por lo que opera como cota superior. Un porcentaje bajo frente al PCU, con un backlog funcional prácticamente completo, no indica un error de cálculo: refleja que la estimación incluye actividades que un proyecto académico no ejecuta con esa intensidad. El porcentaje frente a la implementación es la lectura más cercana al trabajo realizado.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Calculo</vt:lpstr>
      <vt:lpstr>Tareas S8</vt:lpstr>
      <vt:lpstr>Texto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TUBAC ARREAZA, JONATHAN JAVIER</cp:lastModifiedBy>
  <dcterms:created xsi:type="dcterms:W3CDTF">2026-09-29T04:54:26Z</dcterms:created>
  <dcterms:modified xsi:type="dcterms:W3CDTF">2026-09-29T05:56:35Z</dcterms:modified>
</cp:coreProperties>
</file>