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culo" sheetId="1" state="visible" r:id="rId1"/>
    <sheet xmlns:r="http://schemas.openxmlformats.org/officeDocument/2006/relationships" name="Tareas S10" sheetId="2" state="visible" r:id="rId2"/>
    <sheet xmlns:r="http://schemas.openxmlformats.org/officeDocument/2006/relationships" name="Serie" sheetId="3" state="visible" r:id="rId3"/>
    <sheet xmlns:r="http://schemas.openxmlformats.org/officeDocument/2006/relationships" name="Metrica dual" sheetId="4" state="visible" r:id="rId4"/>
    <sheet xmlns:r="http://schemas.openxmlformats.org/officeDocument/2006/relationships" name="Texto" sheetId="5" state="visible" r:id="rId5"/>
    <sheet xmlns:r="http://schemas.openxmlformats.org/officeDocument/2006/relationships" name="LOGT Vásquez" sheetId="6" state="visible" r:id="rId6"/>
    <sheet xmlns:r="http://schemas.openxmlformats.org/officeDocument/2006/relationships" name="LOGT Tubac" sheetId="7" state="visible" r:id="rId7"/>
    <sheet xmlns:r="http://schemas.openxmlformats.org/officeDocument/2006/relationships" name="LOGT Montenegro" sheetId="8" state="visible" r:id="rId8"/>
    <sheet xmlns:r="http://schemas.openxmlformats.org/officeDocument/2006/relationships" name="LOGT Avilés" sheetId="9" state="visible" r:id="rId9"/>
    <sheet xmlns:r="http://schemas.openxmlformats.org/officeDocument/2006/relationships" name="LOGT Figueroa" sheetId="10" state="visible" r:id="rId10"/>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hh:mm"/>
    <numFmt numFmtId="167" formatCode="&quot;Q &quot;#,##0.00"/>
  </numFmts>
  <fonts count="5">
    <font>
      <name val="Calibri"/>
      <family val="2"/>
      <color theme="1"/>
      <sz val="11"/>
      <scheme val="minor"/>
    </font>
    <font>
      <b val="1"/>
      <sz val="12"/>
    </font>
    <font>
      <b val="1"/>
    </font>
    <font>
      <b val="1"/>
      <color rgb="FFFFFFFF"/>
    </font>
    <font>
      <b val="1"/>
      <sz val="14"/>
    </font>
  </fonts>
  <fills count="4">
    <fill>
      <patternFill/>
    </fill>
    <fill>
      <patternFill patternType="gray125"/>
    </fill>
    <fill>
      <patternFill patternType="solid">
        <fgColor rgb="FF1F3864"/>
      </patternFill>
    </fill>
    <fill>
      <patternFill patternType="solid">
        <fgColor rgb="FFD9E1F2"/>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4" fillId="0" borderId="0" pivotButton="0" quotePrefix="0" xfId="0"/>
    <xf numFmtId="0" fontId="2" fillId="0" borderId="0" pivotButton="0" quotePrefix="0" xfId="0"/>
    <xf numFmtId="4" fontId="0" fillId="0" borderId="0" pivotButton="0" quotePrefix="0" xfId="0"/>
    <xf numFmtId="167" fontId="0" fillId="0" borderId="0" pivotButton="0" quotePrefix="0" xfId="0"/>
    <xf numFmtId="0" fontId="3" fillId="2" borderId="1" applyAlignment="1" pivotButton="0" quotePrefix="0" xfId="0">
      <alignment vertical="center" wrapText="1"/>
    </xf>
    <xf numFmtId="0" fontId="0" fillId="0" borderId="1" pivotButton="0" quotePrefix="0" xfId="0"/>
    <xf numFmtId="167" fontId="0" fillId="0" borderId="1" pivotButton="0" quotePrefix="0" xfId="0"/>
    <xf numFmtId="4" fontId="0" fillId="0" borderId="1" pivotButton="0" quotePrefix="0" xfId="0"/>
    <xf numFmtId="10" fontId="0" fillId="0" borderId="1" pivotButton="0" quotePrefix="0" xfId="0"/>
    <xf numFmtId="0" fontId="2" fillId="3" borderId="1" pivotButton="0" quotePrefix="0" xfId="0"/>
    <xf numFmtId="167" fontId="2" fillId="3" borderId="1" pivotButton="0" quotePrefix="0" xfId="0"/>
    <xf numFmtId="4" fontId="2" fillId="3" borderId="1" pivotButton="0" quotePrefix="0" xfId="0"/>
    <xf numFmtId="10" fontId="2" fillId="3" borderId="1" pivotButton="0" quotePrefix="0" xfId="0"/>
    <xf numFmtId="2" fontId="0" fillId="0" borderId="1" pivotButton="0" quotePrefix="0" xfId="0"/>
    <xf numFmtId="0" fontId="1" fillId="0" borderId="0" pivotButton="0" quotePrefix="0" xfId="0"/>
    <xf numFmtId="2" fontId="2"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165" fontId="0" fillId="0" borderId="1" pivotButton="0" quotePrefix="0" xfId="0"/>
    <xf numFmtId="166"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 width="18" customWidth="1" min="7" max="7"/>
    <col width="40" customWidth="1" min="8" max="8"/>
  </cols>
  <sheetData>
    <row r="1">
      <c r="A1" s="1" t="inlineStr">
        <is>
          <t>Ejecución del presupuesto y del tiempo · cierre del proyecto (Sprint 10)</t>
        </is>
      </c>
    </row>
    <row r="3">
      <c r="A3" s="2" t="inlineStr">
        <is>
          <t>Línea base (SCRUM-11, SCRUM-24, SCRUM-36, SCRUM-57, SCRUM-72)</t>
        </is>
      </c>
    </row>
    <row r="4">
      <c r="A4" t="inlineStr">
        <is>
          <t>Esfuerzo total estimado (H/H)</t>
        </is>
      </c>
      <c r="B4" s="3" t="n">
        <v>7613.67</v>
      </c>
      <c r="C4" t="inlineStr">
        <is>
          <t>SCRUM-11, Puntos de Casos de Uso</t>
        </is>
      </c>
    </row>
    <row r="5">
      <c r="A5" t="inlineStr">
        <is>
          <t>Costo total estimado, K = 1.5</t>
        </is>
      </c>
      <c r="B5" s="4" t="n">
        <v>511638.46</v>
      </c>
      <c r="C5" t="inlineStr">
        <is>
          <t>SCRUM-11</t>
        </is>
      </c>
    </row>
    <row r="6">
      <c r="A6" t="inlineStr">
        <is>
          <t>Costo total estimado, K = 2</t>
        </is>
      </c>
      <c r="B6" s="4" t="n">
        <v>682184.62</v>
      </c>
      <c r="C6" t="inlineStr">
        <is>
          <t>SCRUM-11</t>
        </is>
      </c>
    </row>
    <row r="7">
      <c r="A7" t="inlineStr">
        <is>
          <t>Factor K bajo</t>
        </is>
      </c>
      <c r="B7" t="n">
        <v>1.5</v>
      </c>
      <c r="C7" t="inlineStr">
        <is>
          <t>Multiplica la tarifa horaria</t>
        </is>
      </c>
    </row>
    <row r="8">
      <c r="A8" t="inlineStr">
        <is>
          <t>Factor K alto</t>
        </is>
      </c>
      <c r="B8" t="n">
        <v>2</v>
      </c>
      <c r="C8" t="inlineStr">
        <is>
          <t>Multiplica la tarifa horaria</t>
        </is>
      </c>
    </row>
    <row r="9">
      <c r="A9" t="inlineStr">
        <is>
          <t>Peso de la actividad de implementación</t>
        </is>
      </c>
      <c r="B9" t="n">
        <v>0.4</v>
      </c>
      <c r="C9" t="inlineStr">
        <is>
          <t>Métrica dual, SCRUM-24 y SCRUM-36</t>
        </is>
      </c>
    </row>
    <row r="10">
      <c r="A10" t="inlineStr">
        <is>
          <t>Horas acumuladas al cierre del Sprint 7 (H/H)</t>
        </is>
      </c>
      <c r="B10" s="3" t="n">
        <v>721</v>
      </c>
      <c r="C10" t="inlineStr">
        <is>
          <t>SCRUM-36</t>
        </is>
      </c>
    </row>
    <row r="11">
      <c r="A11" t="inlineStr">
        <is>
          <t>Monto ejecutado al cierre del Sprint 7, K = 1.5</t>
        </is>
      </c>
      <c r="B11" s="4" t="n">
        <v>48701.7</v>
      </c>
      <c r="C11" t="inlineStr">
        <is>
          <t>SCRUM-36</t>
        </is>
      </c>
    </row>
    <row r="12">
      <c r="A12" t="inlineStr">
        <is>
          <t>Horas acumuladas al cierre del Sprint 9 (H/H)</t>
        </is>
      </c>
      <c r="B12" s="3" t="n">
        <v>899</v>
      </c>
      <c r="C12" t="inlineStr">
        <is>
          <t>SCRUM-72, ejecucion-presupuesto-sprint9.xlsx</t>
        </is>
      </c>
    </row>
    <row r="13">
      <c r="A13" t="inlineStr">
        <is>
          <t>Monto ejecutado al cierre del Sprint 9, K = 1.5</t>
        </is>
      </c>
      <c r="B13" s="4" t="n">
        <v>60841.2</v>
      </c>
      <c r="C13" t="inlineStr">
        <is>
          <t>SCRUM-72, ejecucion-presupuesto-sprint9.xlsx</t>
        </is>
      </c>
    </row>
    <row r="15">
      <c r="A15" s="2" t="inlineStr">
        <is>
          <t>Horas y monto del Sprint 10 por integrante</t>
        </is>
      </c>
    </row>
    <row r="16">
      <c r="A16" s="5" t="inlineStr">
        <is>
          <t>Integrante</t>
        </is>
      </c>
      <c r="B16" s="5" t="inlineStr">
        <is>
          <t>Tarifa (Q/h)</t>
        </is>
      </c>
      <c r="C16" s="5" t="inlineStr">
        <is>
          <t>Horas del S10 (H/H)</t>
        </is>
      </c>
      <c r="D16" s="5" t="inlineStr">
        <is>
          <t>% de las horas del S10</t>
        </is>
      </c>
      <c r="E16" s="5" t="inlineStr">
        <is>
          <t>Monto base (Q)</t>
        </is>
      </c>
      <c r="F16" s="5" t="inlineStr">
        <is>
          <t>Monto K = 1.5 (Q)</t>
        </is>
      </c>
      <c r="G16" s="5" t="inlineStr">
        <is>
          <t>Monto K = 2 (Q)</t>
        </is>
      </c>
      <c r="H16" s="5" t="inlineStr">
        <is>
          <t>Fuente</t>
        </is>
      </c>
    </row>
    <row r="17">
      <c r="A17" s="6" t="inlineStr">
        <is>
          <t>Pablo Vásquez</t>
        </is>
      </c>
      <c r="B17" s="7" t="n">
        <v>57</v>
      </c>
      <c r="C17" s="8">
        <f>SUMIF('Tareas S10'!$C$4:$C$34,A17,'Tareas S10'!$F$4:$F$34)</f>
        <v/>
      </c>
      <c r="D17" s="9">
        <f>IF($C$22=0,0,C17/$C$22)</f>
        <v/>
      </c>
      <c r="E17" s="7">
        <f>C17*B17</f>
        <v/>
      </c>
      <c r="F17" s="7">
        <f>E17*$B$7</f>
        <v/>
      </c>
      <c r="G17" s="7">
        <f>E17*$B$8</f>
        <v/>
      </c>
      <c r="H17" s="6" t="inlineStr">
        <is>
          <t>LOGT Vásquez (Jira SCRUM Sprint 5)</t>
        </is>
      </c>
    </row>
    <row r="18">
      <c r="A18" s="6" t="inlineStr">
        <is>
          <t>Jonathan Tubac</t>
        </is>
      </c>
      <c r="B18" s="7" t="n">
        <v>51</v>
      </c>
      <c r="C18" s="8">
        <f>SUMIF('Tareas S10'!$C$4:$C$34,A18,'Tareas S10'!$F$4:$F$34)</f>
        <v/>
      </c>
      <c r="D18" s="9">
        <f>IF($C$22=0,0,C18/$C$22)</f>
        <v/>
      </c>
      <c r="E18" s="7">
        <f>C18*B18</f>
        <v/>
      </c>
      <c r="F18" s="7">
        <f>E18*$B$7</f>
        <v/>
      </c>
      <c r="G18" s="7">
        <f>E18*$B$8</f>
        <v/>
      </c>
      <c r="H18" s="6" t="inlineStr">
        <is>
          <t>LOGT Tubac (Jira SCRUM Sprint 5)</t>
        </is>
      </c>
    </row>
    <row r="19">
      <c r="A19" s="6" t="inlineStr">
        <is>
          <t>Juan Francisco Montenegro Aguirre</t>
        </is>
      </c>
      <c r="B19" s="7" t="n">
        <v>46</v>
      </c>
      <c r="C19" s="8">
        <f>SUMIF('Tareas S10'!$C$4:$C$34,A19,'Tareas S10'!$F$4:$F$34)</f>
        <v/>
      </c>
      <c r="D19" s="9">
        <f>IF($C$22=0,0,C19/$C$22)</f>
        <v/>
      </c>
      <c r="E19" s="7">
        <f>C19*B19</f>
        <v/>
      </c>
      <c r="F19" s="7">
        <f>E19*$B$7</f>
        <v/>
      </c>
      <c r="G19" s="7">
        <f>E19*$B$8</f>
        <v/>
      </c>
      <c r="H19" s="6" t="inlineStr">
        <is>
          <t>LOGT Montenegro (Jira SCRUM Sprint 5)</t>
        </is>
      </c>
    </row>
    <row r="20">
      <c r="A20" s="6" t="inlineStr">
        <is>
          <t>Alejandra Sarai Avilés González</t>
        </is>
      </c>
      <c r="B20" s="7" t="n">
        <v>36</v>
      </c>
      <c r="C20" s="8">
        <f>SUMIF('Tareas S10'!$C$4:$C$34,A20,'Tareas S10'!$F$4:$F$34)</f>
        <v/>
      </c>
      <c r="D20" s="9">
        <f>IF($C$22=0,0,C20/$C$22)</f>
        <v/>
      </c>
      <c r="E20" s="7">
        <f>C20*B20</f>
        <v/>
      </c>
      <c r="F20" s="7">
        <f>E20*$B$7</f>
        <v/>
      </c>
      <c r="G20" s="7">
        <f>E20*$B$8</f>
        <v/>
      </c>
      <c r="H20" s="6" t="inlineStr">
        <is>
          <t>LOGT Avilés (Jira SCRUM Sprint 5)</t>
        </is>
      </c>
    </row>
    <row r="21">
      <c r="A21" s="6" t="inlineStr">
        <is>
          <t>Ivana Cristina Figueroa Diemek</t>
        </is>
      </c>
      <c r="B21" s="7" t="n">
        <v>34</v>
      </c>
      <c r="C21" s="8">
        <f>SUMIF('Tareas S10'!$C$4:$C$34,A21,'Tareas S10'!$F$4:$F$34)</f>
        <v/>
      </c>
      <c r="D21" s="9">
        <f>IF($C$22=0,0,C21/$C$22)</f>
        <v/>
      </c>
      <c r="E21" s="7">
        <f>C21*B21</f>
        <v/>
      </c>
      <c r="F21" s="7">
        <f>E21*$B$7</f>
        <v/>
      </c>
      <c r="G21" s="7">
        <f>E21*$B$8</f>
        <v/>
      </c>
      <c r="H21" s="6" t="inlineStr">
        <is>
          <t>LOGT Figueroa (Jira SCRUM Sprint 5)</t>
        </is>
      </c>
    </row>
    <row r="22">
      <c r="A22" s="10" t="inlineStr">
        <is>
          <t>Total</t>
        </is>
      </c>
      <c r="B22" s="11">
        <f>IF(C22=0,0,E22/C22)</f>
        <v/>
      </c>
      <c r="C22" s="12">
        <f>SUM(C17:C21)</f>
        <v/>
      </c>
      <c r="D22" s="13">
        <f>SUM(D17:D21)</f>
        <v/>
      </c>
      <c r="E22" s="11">
        <f>SUM(E17:E21)</f>
        <v/>
      </c>
      <c r="F22" s="11">
        <f>SUM(F17:F21)</f>
        <v/>
      </c>
      <c r="G22" s="11">
        <f>SUM(G17:G21)</f>
        <v/>
      </c>
      <c r="H22" s="10" t="n"/>
    </row>
    <row r="25">
      <c r="A25" s="2" t="inlineStr">
        <is>
          <t>Horas acumuladas por integrante al cierre del proyecto (Sprints 8 a 10)</t>
        </is>
      </c>
    </row>
    <row r="26">
      <c r="A26" s="5" t="inlineStr">
        <is>
          <t>Integrante</t>
        </is>
      </c>
      <c r="B26" s="5" t="inlineStr">
        <is>
          <t>Horas S8 (H/H)</t>
        </is>
      </c>
      <c r="C26" s="5" t="inlineStr">
        <is>
          <t>Horas S9 (H/H)</t>
        </is>
      </c>
      <c r="D26" s="5" t="inlineStr">
        <is>
          <t>Horas S10 (H/H)</t>
        </is>
      </c>
      <c r="E26" s="5" t="inlineStr">
        <is>
          <t>Total S8–S10 (H/H)</t>
        </is>
      </c>
      <c r="F26" s="5" t="inlineStr">
        <is>
          <t>Monto S8–S10, K = 1.5</t>
        </is>
      </c>
      <c r="G26" s="5" t="inlineStr">
        <is>
          <t>Monto S8–S10, K = 2</t>
        </is>
      </c>
      <c r="H26" s="5" t="inlineStr">
        <is>
          <t>Fuente</t>
        </is>
      </c>
    </row>
    <row r="27">
      <c r="A27" s="6" t="inlineStr">
        <is>
          <t>Pablo Vásquez</t>
        </is>
      </c>
      <c r="B27" s="8" t="n">
        <v>16</v>
      </c>
      <c r="C27" s="8" t="n">
        <v>19</v>
      </c>
      <c r="D27" s="8">
        <f>C17</f>
        <v/>
      </c>
      <c r="E27" s="8">
        <f>SUM(B27:D27)</f>
        <v/>
      </c>
      <c r="F27" s="7">
        <f>E27*B17*$B$7</f>
        <v/>
      </c>
      <c r="G27" s="7">
        <f>E27*B17*$B$8</f>
        <v/>
      </c>
      <c r="H27" s="6" t="inlineStr">
        <is>
          <t>LOGT S8 y S9 (libros anteriores) y LOGT S10</t>
        </is>
      </c>
    </row>
    <row r="28">
      <c r="A28" s="6" t="inlineStr">
        <is>
          <t>Jonathan Tubac</t>
        </is>
      </c>
      <c r="B28" s="8" t="n">
        <v>22</v>
      </c>
      <c r="C28" s="8" t="n">
        <v>18</v>
      </c>
      <c r="D28" s="8">
        <f>C18</f>
        <v/>
      </c>
      <c r="E28" s="8">
        <f>SUM(B28:D28)</f>
        <v/>
      </c>
      <c r="F28" s="7">
        <f>E28*B18*$B$7</f>
        <v/>
      </c>
      <c r="G28" s="7">
        <f>E28*B18*$B$8</f>
        <v/>
      </c>
      <c r="H28" s="6" t="inlineStr">
        <is>
          <t>LOGT S8 y S9 (libros anteriores) y LOGT S10</t>
        </is>
      </c>
    </row>
    <row r="29">
      <c r="A29" s="6" t="inlineStr">
        <is>
          <t>Juan Francisco Montenegro Aguirre</t>
        </is>
      </c>
      <c r="B29" s="8" t="n">
        <v>18</v>
      </c>
      <c r="C29" s="8" t="n">
        <v>23</v>
      </c>
      <c r="D29" s="8">
        <f>C19</f>
        <v/>
      </c>
      <c r="E29" s="8">
        <f>SUM(B29:D29)</f>
        <v/>
      </c>
      <c r="F29" s="7">
        <f>E29*B19*$B$7</f>
        <v/>
      </c>
      <c r="G29" s="7">
        <f>E29*B19*$B$8</f>
        <v/>
      </c>
      <c r="H29" s="6" t="inlineStr">
        <is>
          <t>LOGT S8 y S9 (libros anteriores) y LOGT S10</t>
        </is>
      </c>
    </row>
    <row r="30">
      <c r="A30" s="6" t="inlineStr">
        <is>
          <t>Alejandra Sarai Avilés González</t>
        </is>
      </c>
      <c r="B30" s="8" t="n">
        <v>19</v>
      </c>
      <c r="C30" s="8" t="n">
        <v>13</v>
      </c>
      <c r="D30" s="8">
        <f>C20</f>
        <v/>
      </c>
      <c r="E30" s="8">
        <f>SUM(B30:D30)</f>
        <v/>
      </c>
      <c r="F30" s="7">
        <f>E30*B20*$B$7</f>
        <v/>
      </c>
      <c r="G30" s="7">
        <f>E30*B20*$B$8</f>
        <v/>
      </c>
      <c r="H30" s="6" t="inlineStr">
        <is>
          <t>LOGT S8 y S9 (libros anteriores) y LOGT S10</t>
        </is>
      </c>
    </row>
    <row r="31">
      <c r="A31" s="6" t="inlineStr">
        <is>
          <t>Ivana Cristina Figueroa Diemek</t>
        </is>
      </c>
      <c r="B31" s="8" t="n">
        <v>15</v>
      </c>
      <c r="C31" s="8" t="n">
        <v>15</v>
      </c>
      <c r="D31" s="8">
        <f>C21</f>
        <v/>
      </c>
      <c r="E31" s="8">
        <f>SUM(B31:D31)</f>
        <v/>
      </c>
      <c r="F31" s="7">
        <f>E31*B21*$B$7</f>
        <v/>
      </c>
      <c r="G31" s="7">
        <f>E31*B21*$B$8</f>
        <v/>
      </c>
      <c r="H31" s="6" t="inlineStr">
        <is>
          <t>LOGT S8 y S9 (libros anteriores) y LOGT S10</t>
        </is>
      </c>
    </row>
    <row r="32">
      <c r="A32" s="10" t="inlineStr">
        <is>
          <t>Total</t>
        </is>
      </c>
      <c r="B32" s="12">
        <f>SUM(B27:B31)</f>
        <v/>
      </c>
      <c r="C32" s="12">
        <f>SUM(C27:C31)</f>
        <v/>
      </c>
      <c r="D32" s="12">
        <f>SUM(D27:D31)</f>
        <v/>
      </c>
      <c r="E32" s="12">
        <f>SUM(E27:E31)</f>
        <v/>
      </c>
      <c r="F32" s="11">
        <f>SUM(F27:F31)</f>
        <v/>
      </c>
      <c r="G32" s="11">
        <f>SUM(G27:G31)</f>
        <v/>
      </c>
      <c r="H32" s="10" t="n"/>
    </row>
    <row r="33">
      <c r="A33" t="inlineStr">
        <is>
          <t>Los Sprints 1 a 7 (721.00 H/H) se reportaron consolidados en SCRUM-24 y SCRUM-36 y no se desglosan aquí por integrante.</t>
        </is>
      </c>
    </row>
    <row r="35">
      <c r="A35" s="2" t="inlineStr">
        <is>
          <t>Resultados y variación respecto de los cortes anteriores</t>
        </is>
      </c>
    </row>
    <row r="36">
      <c r="A36" s="5" t="inlineStr">
        <is>
          <t>Indicador</t>
        </is>
      </c>
      <c r="B36" s="5" t="inlineStr">
        <is>
          <t>Corte Sprint 7</t>
        </is>
      </c>
      <c r="C36" s="5" t="inlineStr">
        <is>
          <t>Corte Sprint 9</t>
        </is>
      </c>
      <c r="D36" s="5" t="inlineStr">
        <is>
          <t>Cierre Sprint 10</t>
        </is>
      </c>
      <c r="E36" s="5" t="inlineStr">
        <is>
          <t>Variación vs S9</t>
        </is>
      </c>
      <c r="F36" s="5" t="inlineStr">
        <is>
          <t>Variación vs S7</t>
        </is>
      </c>
    </row>
    <row r="37">
      <c r="A37" s="6" t="inlineStr">
        <is>
          <t>Horas acumuladas (H/H)</t>
        </is>
      </c>
      <c r="B37" s="8">
        <f>B10</f>
        <v/>
      </c>
      <c r="C37" s="8">
        <f>B12</f>
        <v/>
      </c>
      <c r="D37" s="8">
        <f>B12+C22</f>
        <v/>
      </c>
      <c r="E37" s="8">
        <f>D37-C37</f>
        <v/>
      </c>
      <c r="F37" s="8">
        <f>D37-B37</f>
        <v/>
      </c>
    </row>
    <row r="38">
      <c r="A38" s="6" t="inlineStr">
        <is>
          <t>% del esfuerzo total (ciclo completo)</t>
        </is>
      </c>
      <c r="B38" s="9">
        <f>B37/$B$4</f>
        <v/>
      </c>
      <c r="C38" s="9">
        <f>C37/$B$4</f>
        <v/>
      </c>
      <c r="D38" s="9">
        <f>D37/$B$4</f>
        <v/>
      </c>
      <c r="E38" s="14">
        <f>(D38-C38)*100</f>
        <v/>
      </c>
      <c r="F38" s="14">
        <f>(D38-B38)*100</f>
        <v/>
      </c>
    </row>
    <row r="39">
      <c r="A39" s="6" t="inlineStr">
        <is>
          <t>% de la actividad de implementación (40 %)</t>
        </is>
      </c>
      <c r="B39" s="9">
        <f>B37/($B$4*$B$9)</f>
        <v/>
      </c>
      <c r="C39" s="9">
        <f>C37/($B$4*$B$9)</f>
        <v/>
      </c>
      <c r="D39" s="9">
        <f>D37/($B$4*$B$9)</f>
        <v/>
      </c>
      <c r="E39" s="14">
        <f>(D39-C39)*100</f>
        <v/>
      </c>
      <c r="F39" s="14">
        <f>(D39-B39)*100</f>
        <v/>
      </c>
    </row>
    <row r="40">
      <c r="A40" s="6" t="inlineStr">
        <is>
          <t>Monto ejecutado, K = 1.5</t>
        </is>
      </c>
      <c r="B40" s="7">
        <f>B11</f>
        <v/>
      </c>
      <c r="C40" s="7">
        <f>B13</f>
        <v/>
      </c>
      <c r="D40" s="7">
        <f>B13+F22</f>
        <v/>
      </c>
      <c r="E40" s="7">
        <f>D40-C40</f>
        <v/>
      </c>
      <c r="F40" s="7">
        <f>D40-B40</f>
        <v/>
      </c>
    </row>
    <row r="41">
      <c r="A41" s="6" t="inlineStr">
        <is>
          <t>% del costo total, K = 1.5</t>
        </is>
      </c>
      <c r="B41" s="9">
        <f>B40/$B$5</f>
        <v/>
      </c>
      <c r="C41" s="9">
        <f>C40/$B$5</f>
        <v/>
      </c>
      <c r="D41" s="9">
        <f>D40/$B$5</f>
        <v/>
      </c>
      <c r="E41" s="14">
        <f>(D41-C41)*100</f>
        <v/>
      </c>
      <c r="F41" s="14">
        <f>(D41-B41)*100</f>
        <v/>
      </c>
    </row>
    <row r="42">
      <c r="A42" s="6" t="inlineStr">
        <is>
          <t>Monto ejecutado, K = 2</t>
        </is>
      </c>
      <c r="B42" s="7">
        <f>B11/$B$7*$B$8</f>
        <v/>
      </c>
      <c r="C42" s="7">
        <f>B13/$B$7*$B$8</f>
        <v/>
      </c>
      <c r="D42" s="7">
        <f>C42+G22</f>
        <v/>
      </c>
      <c r="E42" s="7">
        <f>D42-C42</f>
        <v/>
      </c>
      <c r="F42" s="7">
        <f>D42-B42</f>
        <v/>
      </c>
    </row>
    <row r="43">
      <c r="A43" s="6" t="inlineStr">
        <is>
          <t>% del costo total, K = 2</t>
        </is>
      </c>
      <c r="B43" s="9">
        <f>B42/$B$6</f>
        <v/>
      </c>
      <c r="C43" s="9">
        <f>C42/$B$6</f>
        <v/>
      </c>
      <c r="D43" s="9">
        <f>D42/$B$6</f>
        <v/>
      </c>
      <c r="E43" s="14">
        <f>(D43-C43)*100</f>
        <v/>
      </c>
      <c r="F43" s="14">
        <f>(D43-B43)*100</f>
        <v/>
      </c>
    </row>
    <row r="44">
      <c r="A44" s="6" t="inlineStr">
        <is>
          <t>% del costo de implementación, K = 1.5</t>
        </is>
      </c>
      <c r="B44" s="9">
        <f>B40/($B$5*$B$9)</f>
        <v/>
      </c>
      <c r="C44" s="9">
        <f>C40/($B$5*$B$9)</f>
        <v/>
      </c>
      <c r="D44" s="9">
        <f>D40/($B$5*$B$9)</f>
        <v/>
      </c>
      <c r="E44" s="14">
        <f>(D44-C44)*100</f>
        <v/>
      </c>
      <c r="F44" s="14">
        <f>(D44-B44)*100</f>
        <v/>
      </c>
    </row>
    <row r="45">
      <c r="A45" s="6" t="inlineStr">
        <is>
          <t>% del costo de implementación, K = 2</t>
        </is>
      </c>
      <c r="B45" s="9">
        <f>B42/($B$6*$B$9)</f>
        <v/>
      </c>
      <c r="C45" s="9">
        <f>C42/($B$6*$B$9)</f>
        <v/>
      </c>
      <c r="D45" s="9">
        <f>D42/($B$6*$B$9)</f>
        <v/>
      </c>
      <c r="E45" s="14">
        <f>(D45-C45)*100</f>
        <v/>
      </c>
      <c r="F45" s="14">
        <f>(D45-B45)*100</f>
        <v/>
      </c>
    </row>
    <row r="46">
      <c r="A46" s="6" t="inlineStr">
        <is>
          <t>Horas no consumidas del esfuerzo total (H/H)</t>
        </is>
      </c>
      <c r="B46" s="8">
        <f>$B$4-B37</f>
        <v/>
      </c>
      <c r="C46" s="8">
        <f>$B$4-C37</f>
        <v/>
      </c>
      <c r="D46" s="8">
        <f>$B$4-D37</f>
        <v/>
      </c>
      <c r="E46" s="8">
        <f>D46-C46</f>
        <v/>
      </c>
      <c r="F46" s="8">
        <f>D46-B46</f>
        <v/>
      </c>
    </row>
    <row r="47">
      <c r="A47" s="6" t="inlineStr">
        <is>
          <t>Saldo del presupuesto, K = 1.5</t>
        </is>
      </c>
      <c r="B47" s="7">
        <f>$B$5-B40</f>
        <v/>
      </c>
      <c r="C47" s="7">
        <f>$B$5-C40</f>
        <v/>
      </c>
      <c r="D47" s="7">
        <f>$B$5-D40</f>
        <v/>
      </c>
      <c r="E47" s="7">
        <f>D47-C47</f>
        <v/>
      </c>
      <c r="F47" s="7">
        <f>D47-B47</f>
        <v/>
      </c>
    </row>
    <row r="48">
      <c r="A48" s="6" t="inlineStr">
        <is>
          <t>Saldo del presupuesto, K = 2</t>
        </is>
      </c>
      <c r="B48" s="7">
        <f>$B$6-B42</f>
        <v/>
      </c>
      <c r="C48" s="7">
        <f>$B$6-C42</f>
        <v/>
      </c>
      <c r="D48" s="7">
        <f>$B$6-D42</f>
        <v/>
      </c>
      <c r="E48" s="7">
        <f>D48-C48</f>
        <v/>
      </c>
      <c r="F48" s="7">
        <f>D48-B48</f>
        <v/>
      </c>
    </row>
    <row r="50">
      <c r="A50" t="inlineStr">
        <is>
          <t>Variación de los porcentajes en puntos porcentuales.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2" customWidth="1" min="1" max="1"/>
    <col width="62" customWidth="1" min="2" max="2"/>
    <col width="34" customWidth="1" min="3" max="3"/>
    <col width="6" customWidth="1" min="4" max="4"/>
    <col width="12" customWidth="1" min="5" max="5"/>
    <col width="12" customWidth="1" min="6" max="6"/>
    <col width="11" customWidth="1" min="7" max="7"/>
    <col width="13" customWidth="1" min="8" max="8"/>
    <col width="30" customWidth="1" min="9" max="9"/>
  </cols>
  <sheetData>
    <row r="1">
      <c r="A1" s="15" t="inlineStr">
        <is>
          <t>Tareas del Sprint 10 en Jira (SCRUM Sprint 5) y horas registradas</t>
        </is>
      </c>
    </row>
    <row r="3">
      <c r="A3" s="5" t="inlineStr">
        <is>
          <t>Clave</t>
        </is>
      </c>
      <c r="B3" s="5" t="inlineStr">
        <is>
          <t>Tarea</t>
        </is>
      </c>
      <c r="C3" s="5" t="inlineStr">
        <is>
          <t>Responsable</t>
        </is>
      </c>
      <c r="D3" s="5" t="inlineStr">
        <is>
          <t>SP</t>
        </is>
      </c>
      <c r="E3" s="5" t="inlineStr">
        <is>
          <t>Horas estimadas en Jira</t>
        </is>
      </c>
      <c r="F3" s="5" t="inlineStr">
        <is>
          <t>Horas en LOGT</t>
        </is>
      </c>
      <c r="G3" s="5" t="inlineStr">
        <is>
          <t>Diferencia</t>
        </is>
      </c>
      <c r="H3" s="5" t="inlineStr">
        <is>
          <t>Estado en Jira</t>
        </is>
      </c>
      <c r="I3" s="5" t="inlineStr">
        <is>
          <t>Origen de las horas</t>
        </is>
      </c>
    </row>
    <row r="4">
      <c r="A4" s="6" t="inlineStr">
        <is>
          <t>SCRUM-106</t>
        </is>
      </c>
      <c r="B4" s="6" t="inlineStr">
        <is>
          <t>UI-2 · Consistencia de superficies, correcciones de layout y página 404</t>
        </is>
      </c>
      <c r="C4" s="6" t="inlineStr">
        <is>
          <t>Pablo Vásquez</t>
        </is>
      </c>
      <c r="D4" s="6" t="n">
        <v>5</v>
      </c>
      <c r="E4" s="14" t="n"/>
      <c r="F4" s="14">
        <f>SUMIF('LOGT Vásquez'!$G:$G,A4,'LOGT Vásquez'!$E:$E)/60</f>
        <v/>
      </c>
      <c r="G4" s="14">
        <f>IF(E4="","",F4-E4)</f>
        <v/>
      </c>
      <c r="H4" s="6" t="inlineStr">
        <is>
          <t>Finalizado</t>
        </is>
      </c>
      <c r="I4" s="6" t="inlineStr">
        <is>
          <t>Derivada de SP (2.57 h/SP)</t>
        </is>
      </c>
    </row>
    <row r="5">
      <c r="A5" s="6" t="inlineStr">
        <is>
          <t>SCRUM-69</t>
        </is>
      </c>
      <c r="B5" s="6" t="inlineStr">
        <is>
          <t>DT-08 · Actualizar dependencias vulnerables y auditar en CI</t>
        </is>
      </c>
      <c r="C5" s="6" t="inlineStr">
        <is>
          <t>Pablo Vásquez</t>
        </is>
      </c>
      <c r="D5" s="6" t="n">
        <v>3</v>
      </c>
      <c r="E5" s="14" t="n">
        <v>5</v>
      </c>
      <c r="F5" s="14">
        <f>SUMIF('LOGT Vásquez'!$G:$G,A5,'LOGT Vásquez'!$E:$E)/60</f>
        <v/>
      </c>
      <c r="G5" s="14">
        <f>IF(E5="","",F5-E5)</f>
        <v/>
      </c>
      <c r="H5" s="6" t="inlineStr">
        <is>
          <t>Finalizado</t>
        </is>
      </c>
      <c r="I5" s="6" t="inlineStr">
        <is>
          <t>Estimación de Jira</t>
        </is>
      </c>
    </row>
    <row r="6">
      <c r="A6" s="6" t="inlineStr">
        <is>
          <t>SCRUM-77</t>
        </is>
      </c>
      <c r="B6" s="6" t="inlineStr">
        <is>
          <t>DT-11 · ESLint, Prettier y paso de lint en el pipeline</t>
        </is>
      </c>
      <c r="C6" s="6" t="inlineStr">
        <is>
          <t>Pablo Vásquez</t>
        </is>
      </c>
      <c r="D6" s="6" t="n">
        <v>3</v>
      </c>
      <c r="E6" s="14" t="n">
        <v>8</v>
      </c>
      <c r="F6" s="14">
        <f>SUMIF('LOGT Vásquez'!$G:$G,A6,'LOGT Vásquez'!$E:$E)/60</f>
        <v/>
      </c>
      <c r="G6" s="14">
        <f>IF(E6="","",F6-E6)</f>
        <v/>
      </c>
      <c r="H6" s="6" t="inlineStr">
        <is>
          <t>Finalizado</t>
        </is>
      </c>
      <c r="I6" s="6" t="inlineStr">
        <is>
          <t>Estimación de Jira</t>
        </is>
      </c>
    </row>
    <row r="7">
      <c r="A7" s="6" t="inlineStr">
        <is>
          <t>SCRUM-82</t>
        </is>
      </c>
      <c r="B7" s="6" t="inlineStr">
        <is>
          <t>PAY-1 · Módulo de suscripciones con pasarela de pago en modo de prueba</t>
        </is>
      </c>
      <c r="C7" s="6" t="inlineStr">
        <is>
          <t>Pablo Vásquez</t>
        </is>
      </c>
      <c r="D7" s="6" t="n">
        <v>8</v>
      </c>
      <c r="E7" s="14" t="n">
        <v>21</v>
      </c>
      <c r="F7" s="14">
        <f>SUMIF('LOGT Vásquez'!$G:$G,A7,'LOGT Vásquez'!$E:$E)/60</f>
        <v/>
      </c>
      <c r="G7" s="14">
        <f>IF(E7="","",F7-E7)</f>
        <v/>
      </c>
      <c r="H7" s="6" t="inlineStr">
        <is>
          <t>Finalizado</t>
        </is>
      </c>
      <c r="I7" s="6" t="inlineStr">
        <is>
          <t>Estimación de Jira</t>
        </is>
      </c>
    </row>
    <row r="8">
      <c r="A8" s="6" t="inlineStr">
        <is>
          <t>SCRUM-86</t>
        </is>
      </c>
      <c r="B8" s="6" t="inlineStr">
        <is>
          <t>L-5 · Aviso de uso del asistente de IA</t>
        </is>
      </c>
      <c r="C8" s="6" t="inlineStr">
        <is>
          <t>Pablo Vásquez</t>
        </is>
      </c>
      <c r="D8" s="6" t="n">
        <v>2</v>
      </c>
      <c r="E8" s="14" t="n">
        <v>5</v>
      </c>
      <c r="F8" s="14">
        <f>SUMIF('LOGT Vásquez'!$G:$G,A8,'LOGT Vásquez'!$E:$E)/60</f>
        <v/>
      </c>
      <c r="G8" s="14">
        <f>IF(E8="","",F8-E8)</f>
        <v/>
      </c>
      <c r="H8" s="6" t="inlineStr">
        <is>
          <t>Finalizado</t>
        </is>
      </c>
      <c r="I8" s="6" t="inlineStr">
        <is>
          <t>Estimación de Jira</t>
        </is>
      </c>
    </row>
    <row r="9">
      <c r="A9" s="6" t="inlineStr">
        <is>
          <t>SCRUM-94</t>
        </is>
      </c>
      <c r="B9" s="6" t="inlineStr">
        <is>
          <t>PROD-1 · Servidor de producción con URL pública verificable</t>
        </is>
      </c>
      <c r="C9" s="6" t="inlineStr">
        <is>
          <t>Pablo Vásquez</t>
        </is>
      </c>
      <c r="D9" s="6" t="n">
        <v>5</v>
      </c>
      <c r="E9" s="14" t="n">
        <v>13</v>
      </c>
      <c r="F9" s="14">
        <f>SUMIF('LOGT Vásquez'!$G:$G,A9,'LOGT Vásquez'!$E:$E)/60</f>
        <v/>
      </c>
      <c r="G9" s="14">
        <f>IF(E9="","",F9-E9)</f>
        <v/>
      </c>
      <c r="H9" s="6" t="inlineStr">
        <is>
          <t>Finalizado</t>
        </is>
      </c>
      <c r="I9" s="6" t="inlineStr">
        <is>
          <t>Estimación de Jira</t>
        </is>
      </c>
    </row>
    <row r="10">
      <c r="A10" s="6" t="inlineStr">
        <is>
          <t>SCRUM-99</t>
        </is>
      </c>
      <c r="B10" s="6" t="inlineStr">
        <is>
          <t>CI-1 · Evidencia de integración continua y comparación de rendimiento</t>
        </is>
      </c>
      <c r="C10" s="6" t="inlineStr">
        <is>
          <t>Pablo Vásquez</t>
        </is>
      </c>
      <c r="D10" s="6" t="n">
        <v>3</v>
      </c>
      <c r="E10" s="14" t="n">
        <v>8</v>
      </c>
      <c r="F10" s="14">
        <f>SUMIF('LOGT Vásquez'!$G:$G,A10,'LOGT Vásquez'!$E:$E)/60</f>
        <v/>
      </c>
      <c r="G10" s="14">
        <f>IF(E10="","",F10-E10)</f>
        <v/>
      </c>
      <c r="H10" s="6" t="inlineStr">
        <is>
          <t>En curso</t>
        </is>
      </c>
      <c r="I10" s="6" t="inlineStr">
        <is>
          <t>Estimación de Jira</t>
        </is>
      </c>
    </row>
    <row r="11">
      <c r="A11" s="6" t="inlineStr">
        <is>
          <t>SCRUM-102</t>
        </is>
      </c>
      <c r="B11" s="6" t="inlineStr">
        <is>
          <t>BUD-1 · Presupuesto y tiempo ejecutado al cierre del proyecto</t>
        </is>
      </c>
      <c r="C11" s="6" t="inlineStr">
        <is>
          <t>Jonathan Tubac</t>
        </is>
      </c>
      <c r="D11" s="6" t="n">
        <v>3</v>
      </c>
      <c r="E11" s="14" t="n">
        <v>8</v>
      </c>
      <c r="F11" s="14">
        <f>SUMIF('LOGT Tubac'!$G:$G,A11,'LOGT Tubac'!$E:$E)/60</f>
        <v/>
      </c>
      <c r="G11" s="14">
        <f>IF(E11="","",F11-E11)</f>
        <v/>
      </c>
      <c r="H11" s="6" t="inlineStr">
        <is>
          <t>En curso</t>
        </is>
      </c>
      <c r="I11" s="6" t="inlineStr">
        <is>
          <t>Estimación de Jira</t>
        </is>
      </c>
    </row>
    <row r="12">
      <c r="A12" s="6" t="inlineStr">
        <is>
          <t>SCRUM-78</t>
        </is>
      </c>
      <c r="B12" s="6" t="inlineStr">
        <is>
          <t>L-7 · Análisis de brecha fiscal del POS frente al régimen FEL de la SAT</t>
        </is>
      </c>
      <c r="C12" s="6" t="inlineStr">
        <is>
          <t>Jonathan Tubac</t>
        </is>
      </c>
      <c r="D12" s="6" t="n">
        <v>3</v>
      </c>
      <c r="E12" s="14" t="n">
        <v>8</v>
      </c>
      <c r="F12" s="14">
        <f>SUMIF('LOGT Tubac'!$G:$G,A12,'LOGT Tubac'!$E:$E)/60</f>
        <v/>
      </c>
      <c r="G12" s="14">
        <f>IF(E12="","",F12-E12)</f>
        <v/>
      </c>
      <c r="H12" s="6" t="inlineStr">
        <is>
          <t>Finalizado</t>
        </is>
      </c>
      <c r="I12" s="6" t="inlineStr">
        <is>
          <t>Estimación de Jira</t>
        </is>
      </c>
    </row>
    <row r="13">
      <c r="A13" s="6" t="inlineStr">
        <is>
          <t>SCRUM-87</t>
        </is>
      </c>
      <c r="B13" s="6" t="inlineStr">
        <is>
          <t>L-3 · Política de cookies y almacenamiento local, con banner de consentimiento</t>
        </is>
      </c>
      <c r="C13" s="6" t="inlineStr">
        <is>
          <t>Jonathan Tubac</t>
        </is>
      </c>
      <c r="D13" s="6" t="n">
        <v>3</v>
      </c>
      <c r="E13" s="14" t="n">
        <v>8</v>
      </c>
      <c r="F13" s="14">
        <f>SUMIF('LOGT Tubac'!$G:$G,A13,'LOGT Tubac'!$E:$E)/60</f>
        <v/>
      </c>
      <c r="G13" s="14">
        <f>IF(E13="","",F13-E13)</f>
        <v/>
      </c>
      <c r="H13" s="6" t="inlineStr">
        <is>
          <t>Finalizado</t>
        </is>
      </c>
      <c r="I13" s="6" t="inlineStr">
        <is>
          <t>Estimación de Jira</t>
        </is>
      </c>
    </row>
    <row r="14">
      <c r="A14" s="6" t="inlineStr">
        <is>
          <t>SCRUM-88</t>
        </is>
      </c>
      <c r="B14" s="6" t="inlineStr">
        <is>
          <t>L-6 · Implementación de los documentos legales en la aplicación</t>
        </is>
      </c>
      <c r="C14" s="6" t="inlineStr">
        <is>
          <t>Jonathan Tubac</t>
        </is>
      </c>
      <c r="D14" s="6" t="n">
        <v>5</v>
      </c>
      <c r="E14" s="14" t="n">
        <v>13</v>
      </c>
      <c r="F14" s="14">
        <f>SUMIF('LOGT Tubac'!$G:$G,A14,'LOGT Tubac'!$E:$E)/60</f>
        <v/>
      </c>
      <c r="G14" s="14">
        <f>IF(E14="","",F14-E14)</f>
        <v/>
      </c>
      <c r="H14" s="6" t="inlineStr">
        <is>
          <t>Finalizado</t>
        </is>
      </c>
      <c r="I14" s="6" t="inlineStr">
        <is>
          <t>Estimación de Jira</t>
        </is>
      </c>
    </row>
    <row r="15">
      <c r="A15" s="6" t="inlineStr">
        <is>
          <t>SCRUM-95</t>
        </is>
      </c>
      <c r="B15" s="6" t="inlineStr">
        <is>
          <t>TEST-1 · Suite de pruebas de integración en el pipeline de CI</t>
        </is>
      </c>
      <c r="C15" s="6" t="inlineStr">
        <is>
          <t>Jonathan Tubac</t>
        </is>
      </c>
      <c r="D15" s="6" t="n">
        <v>5</v>
      </c>
      <c r="E15" s="14" t="n">
        <v>13</v>
      </c>
      <c r="F15" s="14">
        <f>SUMIF('LOGT Tubac'!$G:$G,A15,'LOGT Tubac'!$E:$E)/60</f>
        <v/>
      </c>
      <c r="G15" s="14">
        <f>IF(E15="","",F15-E15)</f>
        <v/>
      </c>
      <c r="H15" s="6" t="inlineStr">
        <is>
          <t>Finalizado</t>
        </is>
      </c>
      <c r="I15" s="6" t="inlineStr">
        <is>
          <t>Estimación de Jira</t>
        </is>
      </c>
    </row>
    <row r="16">
      <c r="A16" s="6" t="inlineStr">
        <is>
          <t>SCRUM-97</t>
        </is>
      </c>
      <c r="B16" s="6" t="inlineStr">
        <is>
          <t>TEST-2 · Medición y reporte de la evidencia de prueba del 80 % del sistema</t>
        </is>
      </c>
      <c r="C16" s="6" t="inlineStr">
        <is>
          <t>Jonathan Tubac</t>
        </is>
      </c>
      <c r="D16" s="6" t="n">
        <v>3</v>
      </c>
      <c r="E16" s="14" t="n">
        <v>8</v>
      </c>
      <c r="F16" s="14">
        <f>SUMIF('LOGT Tubac'!$G:$G,A16,'LOGT Tubac'!$E:$E)/60</f>
        <v/>
      </c>
      <c r="G16" s="14">
        <f>IF(E16="","",F16-E16)</f>
        <v/>
      </c>
      <c r="H16" s="6" t="inlineStr">
        <is>
          <t>Finalizado</t>
        </is>
      </c>
      <c r="I16" s="6" t="inlineStr">
        <is>
          <t>Estimación de Jira</t>
        </is>
      </c>
    </row>
    <row r="17">
      <c r="A17" s="6" t="inlineStr">
        <is>
          <t>SCRUM-103</t>
        </is>
      </c>
      <c r="B17" s="6" t="inlineStr">
        <is>
          <t>UI-1 · Correcciones de interfaz: responsive del fondo, escala tipográfica y tamaño de fuente configurable</t>
        </is>
      </c>
      <c r="C17" s="6" t="inlineStr">
        <is>
          <t>Juan Francisco Montenegro Aguirre</t>
        </is>
      </c>
      <c r="D17" s="6" t="n">
        <v>5</v>
      </c>
      <c r="E17" s="14" t="n">
        <v>13</v>
      </c>
      <c r="F17" s="14">
        <f>SUMIF('LOGT Montenegro'!$G:$G,A17,'LOGT Montenegro'!$E:$E)/60</f>
        <v/>
      </c>
      <c r="G17" s="14">
        <f>IF(E17="","",F17-E17)</f>
        <v/>
      </c>
      <c r="H17" s="6" t="inlineStr">
        <is>
          <t>En revisión</t>
        </is>
      </c>
      <c r="I17" s="6" t="inlineStr">
        <is>
          <t>Estimación de Jira</t>
        </is>
      </c>
    </row>
    <row r="18">
      <c r="A18" s="6" t="inlineStr">
        <is>
          <t>SCRUM-76</t>
        </is>
      </c>
      <c r="B18" s="6" t="inlineStr">
        <is>
          <t>L-0 · Investigación del marco legal aplicable y estándar de cumplimiento adoptado</t>
        </is>
      </c>
      <c r="C18" s="6" t="inlineStr">
        <is>
          <t>Juan Francisco Montenegro Aguirre</t>
        </is>
      </c>
      <c r="D18" s="6" t="n">
        <v>3</v>
      </c>
      <c r="E18" s="14" t="n">
        <v>8</v>
      </c>
      <c r="F18" s="14">
        <f>SUMIF('LOGT Montenegro'!$G:$G,A18,'LOGT Montenegro'!$E:$E)/60</f>
        <v/>
      </c>
      <c r="G18" s="14">
        <f>IF(E18="","",F18-E18)</f>
        <v/>
      </c>
      <c r="H18" s="6" t="inlineStr">
        <is>
          <t>Finalizado</t>
        </is>
      </c>
      <c r="I18" s="6" t="inlineStr">
        <is>
          <t>Estimación de Jira</t>
        </is>
      </c>
    </row>
    <row r="19">
      <c r="A19" s="6" t="inlineStr">
        <is>
          <t>SCRUM-80</t>
        </is>
      </c>
      <c r="B19" s="6" t="inlineStr">
        <is>
          <t>L-8 · Licencia del repositorio y auditoría de licencias de terceros</t>
        </is>
      </c>
      <c r="C19" s="6" t="inlineStr">
        <is>
          <t>Juan Francisco Montenegro Aguirre</t>
        </is>
      </c>
      <c r="D19" s="6" t="n">
        <v>3</v>
      </c>
      <c r="E19" s="14" t="n">
        <v>8</v>
      </c>
      <c r="F19" s="14">
        <f>SUMIF('LOGT Montenegro'!$G:$G,A19,'LOGT Montenegro'!$E:$E)/60</f>
        <v/>
      </c>
      <c r="G19" s="14">
        <f>IF(E19="","",F19-E19)</f>
        <v/>
      </c>
      <c r="H19" s="6" t="inlineStr">
        <is>
          <t>Finalizado</t>
        </is>
      </c>
      <c r="I19" s="6" t="inlineStr">
        <is>
          <t>Estimación de Jira</t>
        </is>
      </c>
    </row>
    <row r="20">
      <c r="A20" s="6" t="inlineStr">
        <is>
          <t>SCRUM-83</t>
        </is>
      </c>
      <c r="B20" s="6" t="inlineStr">
        <is>
          <t>L-1 · Términos y Condiciones de Uso</t>
        </is>
      </c>
      <c r="C20" s="6" t="inlineStr">
        <is>
          <t>Juan Francisco Montenegro Aguirre</t>
        </is>
      </c>
      <c r="D20" s="6" t="n">
        <v>6</v>
      </c>
      <c r="E20" s="14" t="n">
        <v>16</v>
      </c>
      <c r="F20" s="14">
        <f>SUMIF('LOGT Montenegro'!$G:$G,A20,'LOGT Montenegro'!$E:$E)/60</f>
        <v/>
      </c>
      <c r="G20" s="14">
        <f>IF(E20="","",F20-E20)</f>
        <v/>
      </c>
      <c r="H20" s="6" t="inlineStr">
        <is>
          <t>Finalizado</t>
        </is>
      </c>
      <c r="I20" s="6" t="inlineStr">
        <is>
          <t>Estimación de Jira</t>
        </is>
      </c>
    </row>
    <row r="21">
      <c r="A21" s="6" t="inlineStr">
        <is>
          <t>SCRUM-84</t>
        </is>
      </c>
      <c r="B21" s="6" t="inlineStr">
        <is>
          <t>L-2 · Política de Privacidad e inventario de datos personales del sistema</t>
        </is>
      </c>
      <c r="C21" s="6" t="inlineStr">
        <is>
          <t>Juan Francisco Montenegro Aguirre</t>
        </is>
      </c>
      <c r="D21" s="6" t="n">
        <v>5</v>
      </c>
      <c r="E21" s="14" t="n">
        <v>13</v>
      </c>
      <c r="F21" s="14">
        <f>SUMIF('LOGT Montenegro'!$G:$G,A21,'LOGT Montenegro'!$E:$E)/60</f>
        <v/>
      </c>
      <c r="G21" s="14">
        <f>IF(E21="","",F21-E21)</f>
        <v/>
      </c>
      <c r="H21" s="6" t="inlineStr">
        <is>
          <t>Finalizado</t>
        </is>
      </c>
      <c r="I21" s="6" t="inlineStr">
        <is>
          <t>Estimación de Jira</t>
        </is>
      </c>
    </row>
    <row r="22">
      <c r="A22" s="6" t="inlineStr">
        <is>
          <t>SCRUM-85</t>
        </is>
      </c>
      <c r="B22" s="6" t="inlineStr">
        <is>
          <t>L-4 · Adenda de tratamiento de datos para los clientes de Kontrol</t>
        </is>
      </c>
      <c r="C22" s="6" t="inlineStr">
        <is>
          <t>Juan Francisco Montenegro Aguirre</t>
        </is>
      </c>
      <c r="D22" s="6" t="n">
        <v>3</v>
      </c>
      <c r="E22" s="14" t="n">
        <v>8</v>
      </c>
      <c r="F22" s="14">
        <f>SUMIF('LOGT Montenegro'!$G:$G,A22,'LOGT Montenegro'!$E:$E)/60</f>
        <v/>
      </c>
      <c r="G22" s="14">
        <f>IF(E22="","",F22-E22)</f>
        <v/>
      </c>
      <c r="H22" s="6" t="inlineStr">
        <is>
          <t>En revisión</t>
        </is>
      </c>
      <c r="I22" s="6" t="inlineStr">
        <is>
          <t>Estimación de Jira</t>
        </is>
      </c>
    </row>
    <row r="23">
      <c r="A23" s="6" t="inlineStr">
        <is>
          <t>SCRUM-96</t>
        </is>
      </c>
      <c r="B23" s="6" t="inlineStr">
        <is>
          <t>RTF-1 · Revisión Técnica Formal 2: hallazgos y plan de resolución</t>
        </is>
      </c>
      <c r="C23" s="6" t="inlineStr">
        <is>
          <t>Juan Francisco Montenegro Aguirre</t>
        </is>
      </c>
      <c r="D23" s="6" t="n">
        <v>3</v>
      </c>
      <c r="E23" s="14" t="n">
        <v>8</v>
      </c>
      <c r="F23" s="14">
        <f>SUMIF('LOGT Montenegro'!$G:$G,A23,'LOGT Montenegro'!$E:$E)/60</f>
        <v/>
      </c>
      <c r="G23" s="14">
        <f>IF(E23="","",F23-E23)</f>
        <v/>
      </c>
      <c r="H23" s="6" t="inlineStr">
        <is>
          <t>En revisión</t>
        </is>
      </c>
      <c r="I23" s="6" t="inlineStr">
        <is>
          <t>Estimación de Jira</t>
        </is>
      </c>
    </row>
    <row r="24">
      <c r="A24" s="6" t="inlineStr">
        <is>
          <t>SCRUM-101</t>
        </is>
      </c>
      <c r="B24" s="6" t="inlineStr">
        <is>
          <t>DEMO-1 · Muestra del incremento a usuarios finales</t>
        </is>
      </c>
      <c r="C24" s="6" t="inlineStr">
        <is>
          <t>Alejandra Sarai Avilés González</t>
        </is>
      </c>
      <c r="D24" s="6" t="n">
        <v>2</v>
      </c>
      <c r="E24" s="14" t="n">
        <v>5</v>
      </c>
      <c r="F24" s="14">
        <f>SUMIF('LOGT Avilés'!$G:$G,A24,'LOGT Avilés'!$E:$E)/60</f>
        <v/>
      </c>
      <c r="G24" s="14">
        <f>IF(E24="","",F24-E24)</f>
        <v/>
      </c>
      <c r="H24" s="6" t="inlineStr">
        <is>
          <t>Por hacer</t>
        </is>
      </c>
      <c r="I24" s="6" t="inlineStr">
        <is>
          <t>Sin trabajo registrado al corte</t>
        </is>
      </c>
    </row>
    <row r="25">
      <c r="A25" s="6" t="inlineStr">
        <is>
          <t>SCRUM-66</t>
        </is>
      </c>
      <c r="B25" s="6" t="inlineStr">
        <is>
          <t>DT-16 · Aislar las vistas temporales del agente dentro de la transacción</t>
        </is>
      </c>
      <c r="C25" s="6" t="inlineStr">
        <is>
          <t>Alejandra Sarai Avilés González</t>
        </is>
      </c>
      <c r="D25" s="6" t="n">
        <v>3</v>
      </c>
      <c r="E25" s="14" t="n">
        <v>5</v>
      </c>
      <c r="F25" s="14">
        <f>SUMIF('LOGT Avilés'!$G:$G,A25,'LOGT Avilés'!$E:$E)/60</f>
        <v/>
      </c>
      <c r="G25" s="14">
        <f>IF(E25="","",F25-E25)</f>
        <v/>
      </c>
      <c r="H25" s="6" t="inlineStr">
        <is>
          <t>Finalizado</t>
        </is>
      </c>
      <c r="I25" s="6" t="inlineStr">
        <is>
          <t>Estimación de Jira</t>
        </is>
      </c>
    </row>
    <row r="26">
      <c r="A26" s="6" t="inlineStr">
        <is>
          <t>SCRUM-75</t>
        </is>
      </c>
      <c r="B26" s="6" t="inlineStr">
        <is>
          <t>DT-07 · Capa de acceso a API unificada en el frontend</t>
        </is>
      </c>
      <c r="C26" s="6" t="inlineStr">
        <is>
          <t>Alejandra Sarai Avilés González</t>
        </is>
      </c>
      <c r="D26" s="6" t="n">
        <v>5</v>
      </c>
      <c r="E26" s="14" t="n">
        <v>13</v>
      </c>
      <c r="F26" s="14">
        <f>SUMIF('LOGT Avilés'!$G:$G,A26,'LOGT Avilés'!$E:$E)/60</f>
        <v/>
      </c>
      <c r="G26" s="14">
        <f>IF(E26="","",F26-E26)</f>
        <v/>
      </c>
      <c r="H26" s="6" t="inlineStr">
        <is>
          <t>Finalizado</t>
        </is>
      </c>
      <c r="I26" s="6" t="inlineStr">
        <is>
          <t>Estimación de Jira</t>
        </is>
      </c>
    </row>
    <row r="27">
      <c r="A27" s="6" t="inlineStr">
        <is>
          <t>SCRUM-89</t>
        </is>
      </c>
      <c r="B27" s="6" t="inlineStr">
        <is>
          <t>P-1 · Exportación de datos y borrado de cuenta</t>
        </is>
      </c>
      <c r="C27" s="6" t="inlineStr">
        <is>
          <t>Alejandra Sarai Avilés González</t>
        </is>
      </c>
      <c r="D27" s="6" t="n">
        <v>5</v>
      </c>
      <c r="E27" s="14" t="n">
        <v>13</v>
      </c>
      <c r="F27" s="14">
        <f>SUMIF('LOGT Avilés'!$G:$G,A27,'LOGT Avilés'!$E:$E)/60</f>
        <v/>
      </c>
      <c r="G27" s="14">
        <f>IF(E27="","",F27-E27)</f>
        <v/>
      </c>
      <c r="H27" s="6" t="inlineStr">
        <is>
          <t>Finalizado</t>
        </is>
      </c>
      <c r="I27" s="6" t="inlineStr">
        <is>
          <t>Estimación de Jira</t>
        </is>
      </c>
    </row>
    <row r="28">
      <c r="A28" s="6" t="inlineStr">
        <is>
          <t>SCRUM-90</t>
        </is>
      </c>
      <c r="B28" s="6" t="inlineStr">
        <is>
          <t>P-2 · Política de respaldos con restauración probada</t>
        </is>
      </c>
      <c r="C28" s="6" t="inlineStr">
        <is>
          <t>Alejandra Sarai Avilés González</t>
        </is>
      </c>
      <c r="D28" s="6" t="n">
        <v>3</v>
      </c>
      <c r="E28" s="14" t="n">
        <v>8</v>
      </c>
      <c r="F28" s="14">
        <f>SUMIF('LOGT Avilés'!$G:$G,A28,'LOGT Avilés'!$E:$E)/60</f>
        <v/>
      </c>
      <c r="G28" s="14">
        <f>IF(E28="","",F28-E28)</f>
        <v/>
      </c>
      <c r="H28" s="6" t="inlineStr">
        <is>
          <t>En revisión</t>
        </is>
      </c>
      <c r="I28" s="6" t="inlineStr">
        <is>
          <t>Estimación de Jira</t>
        </is>
      </c>
    </row>
    <row r="29">
      <c r="A29" s="6" t="inlineStr">
        <is>
          <t>SCRUM-98</t>
        </is>
      </c>
      <c r="B29" s="6" t="inlineStr">
        <is>
          <t>UX-N · Resultados de las pruebas de UX y reflexión sobre el uso del neurolab</t>
        </is>
      </c>
      <c r="C29" s="6" t="inlineStr">
        <is>
          <t>Alejandra Sarai Avilés González</t>
        </is>
      </c>
      <c r="D29" s="6" t="n">
        <v>3</v>
      </c>
      <c r="E29" s="14" t="n">
        <v>8</v>
      </c>
      <c r="F29" s="14">
        <f>SUMIF('LOGT Avilés'!$G:$G,A29,'LOGT Avilés'!$E:$E)/60</f>
        <v/>
      </c>
      <c r="G29" s="14">
        <f>IF(E29="","",F29-E29)</f>
        <v/>
      </c>
      <c r="H29" s="6" t="inlineStr">
        <is>
          <t>Finalizado</t>
        </is>
      </c>
      <c r="I29" s="6" t="inlineStr">
        <is>
          <t>Estimación de Jira</t>
        </is>
      </c>
    </row>
    <row r="30">
      <c r="A30" s="6" t="inlineStr">
        <is>
          <t>SCRUM-100</t>
        </is>
      </c>
      <c r="B30" s="6" t="inlineStr">
        <is>
          <t>TEST-3 · Reporte consolidado de pruebas de regresión de la refactorización</t>
        </is>
      </c>
      <c r="C30" s="6" t="inlineStr">
        <is>
          <t>Ivana Cristina Figueroa Diemek</t>
        </is>
      </c>
      <c r="D30" s="6" t="n">
        <v>2</v>
      </c>
      <c r="E30" s="14" t="n">
        <v>5</v>
      </c>
      <c r="F30" s="14">
        <f>SUMIF('LOGT Figueroa'!$G:$G,A30,'LOGT Figueroa'!$E:$E)/60</f>
        <v/>
      </c>
      <c r="G30" s="14">
        <f>IF(E30="","",F30-E30)</f>
        <v/>
      </c>
      <c r="H30" s="6" t="inlineStr">
        <is>
          <t>En revisión</t>
        </is>
      </c>
      <c r="I30" s="6" t="inlineStr">
        <is>
          <t>Estimación de Jira</t>
        </is>
      </c>
    </row>
    <row r="31">
      <c r="A31" s="6" t="inlineStr">
        <is>
          <t>SCRUM-79</t>
        </is>
      </c>
      <c r="B31" s="6" t="inlineStr">
        <is>
          <t>HU-32b · Cierre de la Fase 2 de la identidad visual v2</t>
        </is>
      </c>
      <c r="C31" s="6" t="inlineStr">
        <is>
          <t>Ivana Cristina Figueroa Diemek</t>
        </is>
      </c>
      <c r="D31" s="6" t="n">
        <v>5</v>
      </c>
      <c r="E31" s="14" t="n">
        <v>13</v>
      </c>
      <c r="F31" s="14">
        <f>SUMIF('LOGT Figueroa'!$G:$G,A31,'LOGT Figueroa'!$E:$E)/60</f>
        <v/>
      </c>
      <c r="G31" s="14">
        <f>IF(E31="","",F31-E31)</f>
        <v/>
      </c>
      <c r="H31" s="6" t="inlineStr">
        <is>
          <t>Finalizado</t>
        </is>
      </c>
      <c r="I31" s="6" t="inlineStr">
        <is>
          <t>Estimación de Jira</t>
        </is>
      </c>
    </row>
    <row r="32">
      <c r="A32" s="6" t="inlineStr">
        <is>
          <t>SCRUM-91</t>
        </is>
      </c>
      <c r="B32" s="6" t="inlineStr">
        <is>
          <t>P-3 · Procedimiento de respuesta a incidentes y notificación de brechas</t>
        </is>
      </c>
      <c r="C32" s="6" t="inlineStr">
        <is>
          <t>Ivana Cristina Figueroa Diemek</t>
        </is>
      </c>
      <c r="D32" s="6" t="n">
        <v>2</v>
      </c>
      <c r="E32" s="14" t="n">
        <v>5</v>
      </c>
      <c r="F32" s="14">
        <f>SUMIF('LOGT Figueroa'!$G:$G,A32,'LOGT Figueroa'!$E:$E)/60</f>
        <v/>
      </c>
      <c r="G32" s="14">
        <f>IF(E32="","",F32-E32)</f>
        <v/>
      </c>
      <c r="H32" s="6" t="inlineStr">
        <is>
          <t>En curso</t>
        </is>
      </c>
      <c r="I32" s="6" t="inlineStr">
        <is>
          <t>Estimación de Jira</t>
        </is>
      </c>
    </row>
    <row r="33">
      <c r="A33" s="6" t="inlineStr">
        <is>
          <t>SCRUM-92</t>
        </is>
      </c>
      <c r="B33" s="6" t="inlineStr">
        <is>
          <t>DT-17 · Carga diferida del logo 3D y los fondos animados, y separación de chunks</t>
        </is>
      </c>
      <c r="C33" s="6" t="inlineStr">
        <is>
          <t>Ivana Cristina Figueroa Diemek</t>
        </is>
      </c>
      <c r="D33" s="6" t="n">
        <v>5</v>
      </c>
      <c r="E33" s="14" t="n">
        <v>13</v>
      </c>
      <c r="F33" s="14">
        <f>SUMIF('LOGT Figueroa'!$G:$G,A33,'LOGT Figueroa'!$E:$E)/60</f>
        <v/>
      </c>
      <c r="G33" s="14">
        <f>IF(E33="","",F33-E33)</f>
        <v/>
      </c>
      <c r="H33" s="6" t="inlineStr">
        <is>
          <t>Finalizado</t>
        </is>
      </c>
      <c r="I33" s="6" t="inlineStr">
        <is>
          <t>Estimación de Jira</t>
        </is>
      </c>
    </row>
    <row r="34">
      <c r="A34" s="6" t="inlineStr">
        <is>
          <t>SCRUM-93</t>
        </is>
      </c>
      <c r="B34" s="6" t="inlineStr">
        <is>
          <t>DT-09 · Tema claro, escala de z-index y retiro de alias legacy</t>
        </is>
      </c>
      <c r="C34" s="6" t="inlineStr">
        <is>
          <t>Ivana Cristina Figueroa Diemek</t>
        </is>
      </c>
      <c r="D34" s="6" t="n">
        <v>4</v>
      </c>
      <c r="E34" s="14" t="n">
        <v>10</v>
      </c>
      <c r="F34" s="14">
        <f>SUMIF('LOGT Figueroa'!$G:$G,A34,'LOGT Figueroa'!$E:$E)/60</f>
        <v/>
      </c>
      <c r="G34" s="14">
        <f>IF(E34="","",F34-E34)</f>
        <v/>
      </c>
      <c r="H34" s="6" t="inlineStr">
        <is>
          <t>Finalizado</t>
        </is>
      </c>
      <c r="I34" s="6" t="inlineStr">
        <is>
          <t>Estimación de Jira</t>
        </is>
      </c>
    </row>
    <row r="35">
      <c r="A35" s="10" t="inlineStr">
        <is>
          <t>Total</t>
        </is>
      </c>
      <c r="B35" s="10" t="n"/>
      <c r="C35" s="10" t="n"/>
      <c r="D35" s="10">
        <f>SUM(D4:D34)</f>
        <v/>
      </c>
      <c r="E35" s="16">
        <f>SUM(E4:E34)</f>
        <v/>
      </c>
      <c r="F35" s="16">
        <f>SUM(F4:F34)</f>
        <v/>
      </c>
      <c r="G35" s="10" t="n"/>
      <c r="H35" s="10" t="n"/>
      <c r="I35" s="10" t="n"/>
    </row>
    <row r="37">
      <c r="A37" t="inlineStr">
        <is>
          <t>Las horas en LOGT salen de la estimación original de cada tarea en Jira, igual que en los cortes de los Sprints 8 y 9. UI-2 no tiene estimación: se deriva de sus SP con la razón del sprint (2.57 h/SP). DEMO-1 sigue «Por hacer» al corte y no suma horas. Estados de Jira consultados el 27/10/2026.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2" customWidth="1" min="1" max="1"/>
    <col width="16" customWidth="1" min="2" max="2"/>
    <col width="16" customWidth="1" min="3" max="3"/>
    <col width="14" customWidth="1" min="4" max="4"/>
    <col width="22" customWidth="1" min="5" max="5"/>
    <col width="14" customWidth="1" min="6" max="6"/>
    <col width="46" customWidth="1" min="7" max="7"/>
  </cols>
  <sheetData>
    <row r="1">
      <c r="A1" s="15" t="inlineStr">
        <is>
          <t>Serie de cortes: horas y monto acumulados</t>
        </is>
      </c>
    </row>
    <row r="2">
      <c r="A2" s="5" t="inlineStr">
        <is>
          <t>Corte</t>
        </is>
      </c>
      <c r="B2" s="5" t="inlineStr">
        <is>
          <t>Horas del periodo (H/H)</t>
        </is>
      </c>
      <c r="C2" s="5" t="inlineStr">
        <is>
          <t>Horas acumuladas (H/H)</t>
        </is>
      </c>
      <c r="D2" s="5" t="inlineStr">
        <is>
          <t>% del esfuerzo total</t>
        </is>
      </c>
      <c r="E2" s="5" t="inlineStr">
        <is>
          <t>Monto acumulado K = 1.5</t>
        </is>
      </c>
      <c r="F2" s="5" t="inlineStr">
        <is>
          <t>% del costo K = 1.5</t>
        </is>
      </c>
      <c r="G2" s="5" t="inlineStr">
        <is>
          <t>Fuente</t>
        </is>
      </c>
    </row>
    <row r="3">
      <c r="A3" s="6" t="inlineStr">
        <is>
          <t>Sprints 1 a 4</t>
        </is>
      </c>
      <c r="B3" s="8" t="n">
        <v>514.5</v>
      </c>
      <c r="C3" s="8" t="n">
        <v>514.5</v>
      </c>
      <c r="D3" s="9">
        <f>C3/Calculo!$B$4</f>
        <v/>
      </c>
      <c r="E3" s="7" t="inlineStr">
        <is>
          <t>No reportado por separado</t>
        </is>
      </c>
      <c r="F3" s="9" t="n"/>
      <c r="G3" s="6" t="inlineStr">
        <is>
          <t>LOGT, reportado en SCRUM-24</t>
        </is>
      </c>
    </row>
    <row r="4">
      <c r="A4" s="6" t="inlineStr">
        <is>
          <t>Sprints 5 a 7</t>
        </is>
      </c>
      <c r="B4" s="8" t="n">
        <v>206.5</v>
      </c>
      <c r="C4" s="8" t="n">
        <v>721</v>
      </c>
      <c r="D4" s="9">
        <f>C4/Calculo!$B$4</f>
        <v/>
      </c>
      <c r="E4" s="7" t="n">
        <v>48701.7</v>
      </c>
      <c r="F4" s="9">
        <f>E4/Calculo!$B$5</f>
        <v/>
      </c>
      <c r="G4" s="6" t="inlineStr">
        <is>
          <t>SCRUM-36</t>
        </is>
      </c>
    </row>
    <row r="5">
      <c r="A5" s="6" t="inlineStr">
        <is>
          <t>Sprint 8</t>
        </is>
      </c>
      <c r="B5" s="8" t="n">
        <v>90</v>
      </c>
      <c r="C5" s="8" t="n">
        <v>811</v>
      </c>
      <c r="D5" s="9">
        <f>C5/Calculo!$B$4</f>
        <v/>
      </c>
      <c r="E5" s="7" t="n">
        <v>54785.7</v>
      </c>
      <c r="F5" s="9">
        <f>E5/Calculo!$B$5</f>
        <v/>
      </c>
      <c r="G5" s="6" t="inlineStr">
        <is>
          <t>SCRUM-57, ejecucion-presupuesto-sprint8.xlsx</t>
        </is>
      </c>
    </row>
    <row r="6">
      <c r="A6" s="6" t="inlineStr">
        <is>
          <t>Sprint 9</t>
        </is>
      </c>
      <c r="B6" s="8" t="n">
        <v>88</v>
      </c>
      <c r="C6" s="8" t="n">
        <v>899</v>
      </c>
      <c r="D6" s="9">
        <f>C6/Calculo!$B$4</f>
        <v/>
      </c>
      <c r="E6" s="7" t="n">
        <v>60841.2</v>
      </c>
      <c r="F6" s="9">
        <f>E6/Calculo!$B$5</f>
        <v/>
      </c>
      <c r="G6" s="6" t="inlineStr">
        <is>
          <t>SCRUM-72, ejecucion-presupuesto-sprint9.xlsx</t>
        </is>
      </c>
    </row>
    <row r="7">
      <c r="A7" s="6" t="inlineStr">
        <is>
          <t>Sprint 10 (cierre)</t>
        </is>
      </c>
      <c r="B7" s="8">
        <f>Calculo!C22</f>
        <v/>
      </c>
      <c r="C7" s="8">
        <f>Calculo!D37</f>
        <v/>
      </c>
      <c r="D7" s="9">
        <f>C7/Calculo!$B$4</f>
        <v/>
      </c>
      <c r="E7" s="7">
        <f>Calculo!D40</f>
        <v/>
      </c>
      <c r="F7" s="9">
        <f>E7/Calculo!$B$5</f>
        <v/>
      </c>
      <c r="G7" s="6" t="inlineStr">
        <is>
          <t>SCRUM-102, este libro</t>
        </is>
      </c>
    </row>
    <row r="9">
      <c r="A9" t="inlineStr">
        <is>
          <t>El corte del Sprint 6 no se reportó por separado: SCRUM-36 consolidó los Sprints 6 y 7 en un solo corte.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2" customWidth="1" min="1" max="1"/>
    <col width="16" customWidth="1" min="2" max="2"/>
    <col width="26" customWidth="1" min="3" max="3"/>
    <col width="16" customWidth="1" min="4" max="4"/>
    <col width="12" customWidth="1" min="5" max="5"/>
    <col width="16" customWidth="1" min="6" max="6"/>
    <col width="20" customWidth="1" min="7" max="7"/>
  </cols>
  <sheetData>
    <row r="1">
      <c r="A1" s="15" t="inlineStr">
        <is>
          <t>Métrica dual: consumo frente a alcance entregado (backlog de Jira, proyecto SCRUM)</t>
        </is>
      </c>
    </row>
    <row r="3">
      <c r="A3" s="5" t="inlineStr">
        <is>
          <t>Sprint del curso</t>
        </is>
      </c>
      <c r="B3" s="5" t="inlineStr">
        <is>
          <t>Sprint en Jira</t>
        </is>
      </c>
      <c r="C3" s="5" t="inlineStr">
        <is>
          <t>Tareas</t>
        </is>
      </c>
      <c r="D3" s="5" t="inlineStr">
        <is>
          <t>SP comprometidos</t>
        </is>
      </c>
      <c r="E3" s="5" t="inlineStr">
        <is>
          <t>SP cerrados</t>
        </is>
      </c>
      <c r="F3" s="5" t="inlineStr">
        <is>
          <t>% del sprint cerrado</t>
        </is>
      </c>
      <c r="G3" s="5" t="inlineStr">
        <is>
          <t>SP cerrados acumulados</t>
        </is>
      </c>
    </row>
    <row r="4">
      <c r="A4" s="6" t="inlineStr">
        <is>
          <t>Sprint 6</t>
        </is>
      </c>
      <c r="B4" s="6" t="inlineStr">
        <is>
          <t>SCRUM Sprint 1</t>
        </is>
      </c>
      <c r="C4" s="6" t="n">
        <v>20</v>
      </c>
      <c r="D4" s="6" t="n">
        <v>96</v>
      </c>
      <c r="E4" s="6" t="n">
        <v>96</v>
      </c>
      <c r="F4" s="9">
        <f>IF(D4=0,0,E4/D4)</f>
        <v/>
      </c>
      <c r="G4" s="6">
        <f>SUM($E$4:E4)</f>
        <v/>
      </c>
    </row>
    <row r="5">
      <c r="A5" s="6" t="inlineStr">
        <is>
          <t>Sprint 7</t>
        </is>
      </c>
      <c r="B5" s="6" t="inlineStr">
        <is>
          <t>SCRUM Sprint 2</t>
        </is>
      </c>
      <c r="C5" s="6" t="n">
        <v>12</v>
      </c>
      <c r="D5" s="6" t="n">
        <v>44</v>
      </c>
      <c r="E5" s="6" t="n">
        <v>44</v>
      </c>
      <c r="F5" s="9">
        <f>IF(D5=0,0,E5/D5)</f>
        <v/>
      </c>
      <c r="G5" s="6">
        <f>SUM($E$4:E5)</f>
        <v/>
      </c>
    </row>
    <row r="6">
      <c r="A6" s="6" t="inlineStr">
        <is>
          <t>Sprint 8</t>
        </is>
      </c>
      <c r="B6" s="6" t="inlineStr">
        <is>
          <t>SCRUM Sprint 3</t>
        </is>
      </c>
      <c r="C6" s="6" t="n">
        <v>15</v>
      </c>
      <c r="D6" s="6" t="n">
        <v>56</v>
      </c>
      <c r="E6" s="6" t="n">
        <v>56</v>
      </c>
      <c r="F6" s="9">
        <f>IF(D6=0,0,E6/D6)</f>
        <v/>
      </c>
      <c r="G6" s="6">
        <f>SUM($E$4:E6)</f>
        <v/>
      </c>
    </row>
    <row r="7">
      <c r="A7" s="6" t="inlineStr">
        <is>
          <t>Sprint 9</t>
        </is>
      </c>
      <c r="B7" s="6" t="inlineStr">
        <is>
          <t>SCRUM Sprint 4</t>
        </is>
      </c>
      <c r="C7" s="6" t="n">
        <v>12</v>
      </c>
      <c r="D7" s="6" t="n">
        <v>42</v>
      </c>
      <c r="E7" s="6" t="n">
        <v>42</v>
      </c>
      <c r="F7" s="9">
        <f>IF(D7=0,0,E7/D7)</f>
        <v/>
      </c>
      <c r="G7" s="6">
        <f>SUM($E$4:E7)</f>
        <v/>
      </c>
    </row>
    <row r="8">
      <c r="A8" s="6" t="inlineStr">
        <is>
          <t>Sprint 10</t>
        </is>
      </c>
      <c r="B8" s="6" t="inlineStr">
        <is>
          <t>SCRUM Sprint 5</t>
        </is>
      </c>
      <c r="C8" s="6" t="n">
        <v>31</v>
      </c>
      <c r="D8" s="6" t="n">
        <v>118</v>
      </c>
      <c r="E8" s="6" t="n">
        <v>92</v>
      </c>
      <c r="F8" s="9">
        <f>IF(D8=0,0,E8/D8)</f>
        <v/>
      </c>
      <c r="G8" s="6">
        <f>SUM($E$4:E8)</f>
        <v/>
      </c>
    </row>
    <row r="9">
      <c r="A9" s="6" t="inlineStr">
        <is>
          <t>Backlog sin sprint</t>
        </is>
      </c>
      <c r="B9" s="6" t="inlineStr">
        <is>
          <t>—</t>
        </is>
      </c>
      <c r="C9" s="6" t="n">
        <v>3</v>
      </c>
      <c r="D9" s="6" t="n">
        <v>5</v>
      </c>
      <c r="E9" s="6" t="n">
        <v>0</v>
      </c>
      <c r="F9" s="9" t="n">
        <v>0</v>
      </c>
      <c r="G9" s="6">
        <f>G8</f>
        <v/>
      </c>
    </row>
    <row r="10">
      <c r="A10" s="10" t="inlineStr">
        <is>
          <t>Total del backlog</t>
        </is>
      </c>
      <c r="B10" s="10" t="n"/>
      <c r="C10" s="10">
        <f>SUM(C4:C9)</f>
        <v/>
      </c>
      <c r="D10" s="10">
        <f>SUM(D4:D9)</f>
        <v/>
      </c>
      <c r="E10" s="10">
        <f>SUM(E4:E9)</f>
        <v/>
      </c>
      <c r="F10" s="13">
        <f>E10/D10</f>
        <v/>
      </c>
      <c r="G10" s="10" t="n"/>
    </row>
    <row r="12">
      <c r="A12" t="inlineStr">
        <is>
          <t>Backlog sin sprint: HU-36 (publicación en APIs de redes sociales, 5 SP) y dos incidencias sin estimar (SCRUM-104, SCRUM-105). Las épicas no tienen SP y no cuentan. Los Sprints 1 a 5 del curso son anteriores al tablero de Jira.</t>
        </is>
      </c>
    </row>
    <row r="14">
      <c r="A14" s="5" t="inlineStr">
        <is>
          <t>Indicador</t>
        </is>
      </c>
      <c r="B14" s="5" t="inlineStr">
        <is>
          <t>Valor</t>
        </is>
      </c>
      <c r="C14" s="5" t="inlineStr">
        <is>
          <t>Nota</t>
        </is>
      </c>
    </row>
    <row r="15">
      <c r="A15" s="6" t="inlineStr">
        <is>
          <t>Alcance cerrado (SP cerrados / SP del backlog)</t>
        </is>
      </c>
      <c r="B15" s="9">
        <f>E10/D10</f>
        <v/>
      </c>
      <c r="C15" s="6" t="inlineStr">
        <is>
          <t>Alcance entregado</t>
        </is>
      </c>
    </row>
    <row r="16">
      <c r="A16" s="6" t="inlineStr">
        <is>
          <t>Esfuerzo consumido del total estimado por PCU</t>
        </is>
      </c>
      <c r="B16" s="9">
        <f>Calculo!D38</f>
        <v/>
      </c>
      <c r="C16" s="6" t="inlineStr">
        <is>
          <t>Consumo, ciclo completo</t>
        </is>
      </c>
    </row>
    <row r="17">
      <c r="A17" s="6" t="inlineStr">
        <is>
          <t>Costo consumido del total, K = 1.5</t>
        </is>
      </c>
      <c r="B17" s="9">
        <f>Calculo!D41</f>
        <v/>
      </c>
      <c r="C17" s="6" t="inlineStr">
        <is>
          <t>Consumo, ciclo completo</t>
        </is>
      </c>
    </row>
    <row r="18">
      <c r="A18" s="6" t="inlineStr">
        <is>
          <t>Esfuerzo consumido de la actividad de implementación</t>
        </is>
      </c>
      <c r="B18" s="9">
        <f>Calculo!D39</f>
        <v/>
      </c>
      <c r="C18" s="6" t="inlineStr">
        <is>
          <t>Consumo, base del 40 %</t>
        </is>
      </c>
    </row>
    <row r="19">
      <c r="A19" s="6" t="inlineStr">
        <is>
          <t>Alcance cerrado por cada punto de consumo (ciclo completo)</t>
        </is>
      </c>
      <c r="B19" s="14">
        <f>B15/B16</f>
        <v/>
      </c>
      <c r="C19" s="6" t="inlineStr">
        <is>
          <t>Veces</t>
        </is>
      </c>
    </row>
    <row r="20">
      <c r="A20" s="6" t="inlineStr">
        <is>
          <t>Alcance cerrado por cada punto de consumo (implementación)</t>
        </is>
      </c>
      <c r="B20" s="14">
        <f>B15/B18</f>
        <v/>
      </c>
      <c r="C20" s="6" t="inlineStr">
        <is>
          <t>Veces</t>
        </is>
      </c>
    </row>
    <row r="21">
      <c r="A21" s="6" t="inlineStr">
        <is>
          <t>H/H por SP cerrado, Sprints 8 a 10</t>
        </is>
      </c>
      <c r="B21" s="14">
        <f>Calculo!E32/(E6+E7+E8)</f>
        <v/>
      </c>
      <c r="C21" s="6" t="inlineStr">
        <is>
          <t>Productividad observada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7" t="inlineStr">
        <is>
          <t>Texto para el informe</t>
        </is>
      </c>
    </row>
    <row r="2">
      <c r="A2" s="18" t="inlineStr">
        <is>
          <t>Fuente de las horas: los LOGT del Sprint 10 de los cinco integrantes (hojas LOGT de este libro), construidos con la estimación original de cada tarea del Sprint 10 en Jira (SCRUM Sprint 5, 14/10/2026 – 27/10/2026), igual que en los cortes de los Sprints 8 y 9. Las horas de los Sprints 8 y 9 vienen de sus libros (ejecucion-presupuesto-sprint8.xlsx y ejecucion-presupuesto-sprint9.xlsx) y el acumulado al Sprint 7, de SCRUM-36.</t>
        </is>
      </c>
    </row>
    <row r="3">
      <c r="A3" s="18" t="inlineStr">
        <is>
          <t>En el Sprint 10 se registran 298.00 H/H: Pablo Vásquez 73.00, Jonathan Tubac 58.00, Juan Francisco Montenegro Aguirre 74.00, Alejandra Sarai Avilés González 47.00, Ivana Cristina Figueroa Diemek 46.00. Con ello el equipo cierra el proyecto con 1,197.00 H/H acumuladas, el 15.72% del esfuerzo total estimado de 7,613.67 H/H: 3.91 puntos porcentuales más que en el corte del Sprint 9 (11.81%) y 6.25 más que en el del Sprint 7 (9.47%).</t>
        </is>
      </c>
    </row>
    <row r="4">
      <c r="A4" s="18" t="inlineStr">
        <is>
          <t>Con la tarifa individual de cada integrante, el Sprint 10 suma Q 20,668.50 con K = 1.5 y Q 27,558.00 con K = 2. El monto ejecutado acumulado al cierre es de Q 81,509.70 con K = 1.5, el 15.93% del costo total estimado (Q 511,638.46), y de Q 108,679.60 con K = 2, el 15.93% de Q 682,184.62: la misma proporción, porque K multiplica igual el monto y la base. Frente al Sprint 9, el porcentaje de costo avanza 4.04 puntos porcentuales; frente al Sprint 7, 6.41. Quedan sin ejercer Q 430,128.76 (K = 1.5) y 6,416.67 H/H.</t>
        </is>
      </c>
    </row>
    <row r="5">
      <c r="A5" s="18" t="inlineStr">
        <is>
          <t>Frente a la actividad de implementación (40 % del esfuerzo, 3,045.47 H/H), el consumo al cierre es del 39.30% en horas y del 39.83% en costo.</t>
        </is>
      </c>
    </row>
    <row r="6">
      <c r="A6" s="18" t="inlineStr">
        <is>
          <t>Métrica dual: el backlog de Jira suma 361 SP en tareas; al cierre están cerrados 330 SP, el 91.41% del alcance. Del Sprint 10 quedan abiertos 26 SP (L-4, P-2, P-3, RTF-1, CI-1, TEST-3, DEMO-1, BUD-1 y UI-1, en curso o en revisión) y fuera de sprint queda HU-36 (5 SP). Se entregó el 91.4% del alcance consumiendo el 15.7% del esfuerzo estimado: 5.8 puntos de alcance por cada punto de consumo frente al ciclo completo, y 2.3 frente a la implementación. En los Sprints 8 a 10 el equipo cerró 190 SP con 476.00 H/H, 2.51 H/H por SP.</t>
        </is>
      </c>
    </row>
    <row r="7">
      <c r="A7" s="18" t="inlineStr">
        <is>
          <t>Lectura final sobre la estimación por PCU. El producto se entregó con el 15.9% del presupuesto estimado y el 15.7% del esfuerzo: la estimación por Puntos de Casos de Uso sobreestimó el costo real unas 6.4 veces. No es un error de cálculo sino de alcance del método: Karner estima el ciclo de vida profesional completo (análisis, diseño, implementación, pruebas, despliegue y gestión, con dedicación de tiempo completo) y funciona como cota superior. Comparado con la actividad de implementación, que es lo que el equipo ejecutó de verdad, el consumo llega al 39.3%: esa base de 40 % fue la referencia más cercana durante todo el proyecto, y aun así quedó holgada. La brecha es de esfuerzo, no de tarifa: el porcentaje de costo (15.93%) casi coincide con el de horas (15.72%), porque la tarifa individual ponderada por las horas de cada integrante queda muy cerca de la tarifa promedio con la que se valoró el PCU. Además, las horas se registran con la estimación de cada tarea en Jira, que tiende a quedarse corta frente al tiempo real (reuniones, revisión de PR, aprendizaje de herramientas), así que el consumo real puede ser algo mayor sin cambiar la conclusión. Para un proyecto similar, el PCU sirve como techo presupuestario; la planificación operativa debe apoyarse en la velocidad observada (2.51 H/H por SP en los últimos tres sprints) y en una base de implementación, no en el esfuerzo de ciclo completo.</t>
        </is>
      </c>
    </row>
    <row r="8">
      <c r="A8" s="18" t="inlineStr">
        <is>
          <t>Nota: los LOGT del Sprint 10 están reconstruidos a partir de Jira y de las fechas de los commits; cada integrante debe revisar su hoja antes de la entrega. Las tareas en curso o en revisión al 27/10/2026 cuentan con su estimación completa; DEMO-1, aún «Por hacer», no suma horas: si se realiza antes de la entrega, se agregan sus 5 H/H a la hoja de Alejandra.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12" customWidth="1" min="1" max="1"/>
    <col width="8" customWidth="1" min="2" max="2"/>
    <col width="8" customWidth="1" min="3" max="3"/>
    <col width="13" customWidth="1" min="4" max="4"/>
    <col width="13" customWidth="1" min="5" max="5"/>
    <col width="16" customWidth="1" min="6" max="6"/>
    <col width="12" customWidth="1" min="7" max="7"/>
    <col width="70" customWidth="1" min="8" max="8"/>
  </cols>
  <sheetData>
    <row r="1">
      <c r="A1" s="15" t="inlineStr">
        <is>
          <t>Registro de tiempo (LOGT) · Sprint 10</t>
        </is>
      </c>
    </row>
    <row r="3">
      <c r="A3" s="2" t="inlineStr">
        <is>
          <t>Integrante</t>
        </is>
      </c>
      <c r="B3" t="inlineStr">
        <is>
          <t>Pablo Vásquez</t>
        </is>
      </c>
    </row>
    <row r="4">
      <c r="A4" s="2" t="inlineStr">
        <is>
          <t>Carné</t>
        </is>
      </c>
      <c r="B4" t="inlineStr">
        <is>
          <t>24757</t>
        </is>
      </c>
    </row>
    <row r="5">
      <c r="A5" s="2" t="inlineStr">
        <is>
          <t>Sprint</t>
        </is>
      </c>
      <c r="B5" t="inlineStr">
        <is>
          <t>Sprint 10 (Jira: SCRUM Sprint 5), 14/10/2026 – 27/10/2026</t>
        </is>
      </c>
    </row>
    <row r="6">
      <c r="A6" s="2" t="inlineStr">
        <is>
          <t>Proyecto</t>
        </is>
      </c>
      <c r="B6" t="inlineStr">
        <is>
          <t>Kontrol</t>
        </is>
      </c>
    </row>
    <row r="8">
      <c r="A8" s="5" t="inlineStr">
        <is>
          <t>Fecha</t>
        </is>
      </c>
      <c r="B8" s="5" t="inlineStr">
        <is>
          <t>Inicio</t>
        </is>
      </c>
      <c r="C8" s="5" t="inlineStr">
        <is>
          <t>Fin</t>
        </is>
      </c>
      <c r="D8" s="5" t="inlineStr">
        <is>
          <t>Interrupción (min)</t>
        </is>
      </c>
      <c r="E8" s="5" t="inlineStr">
        <is>
          <t>Δ Tiempo (min)</t>
        </is>
      </c>
      <c r="F8" s="5" t="inlineStr">
        <is>
          <t>Fase / actividad</t>
        </is>
      </c>
      <c r="G8" s="5" t="inlineStr">
        <is>
          <t>Tarea Jira</t>
        </is>
      </c>
      <c r="H8" s="5" t="inlineStr">
        <is>
          <t>Comentarios</t>
        </is>
      </c>
    </row>
    <row r="9">
      <c r="A9" s="19" t="n">
        <v>46309</v>
      </c>
      <c r="B9" s="20" t="n">
        <v>0.7083333333333334</v>
      </c>
      <c r="C9" s="20" t="n">
        <v>0.75</v>
      </c>
      <c r="D9" s="6" t="n">
        <v>0</v>
      </c>
      <c r="E9" s="6">
        <f>ROUND(MOD(C9-B9,1)*1440,0)-D9</f>
        <v/>
      </c>
      <c r="F9" s="6" t="inlineStr">
        <is>
          <t>Planificación</t>
        </is>
      </c>
      <c r="G9" s="6" t="inlineStr">
        <is>
          <t>SCRUM-77</t>
        </is>
      </c>
      <c r="H9" s="6" t="inlineStr">
        <is>
          <t>Alcance, criterios de aceptación y plan de trabajo de DT-11</t>
        </is>
      </c>
    </row>
    <row r="10">
      <c r="A10" s="19" t="n">
        <v>46309</v>
      </c>
      <c r="B10" s="20" t="n">
        <v>0.7708333333333334</v>
      </c>
      <c r="C10" s="20" t="n">
        <v>0.9166666666666666</v>
      </c>
      <c r="D10" s="6" t="n">
        <v>0</v>
      </c>
      <c r="E10" s="6">
        <f>ROUND(MOD(C10-B10,1)*1440,0)-D10</f>
        <v/>
      </c>
      <c r="F10" s="6" t="inlineStr">
        <is>
          <t>Código</t>
        </is>
      </c>
      <c r="G10" s="6" t="inlineStr">
        <is>
          <t>SCRUM-77</t>
        </is>
      </c>
      <c r="H10" s="6" t="inlineStr">
        <is>
          <t>Implementación: ESLint, Prettier y paso de lint en el pipeline</t>
        </is>
      </c>
    </row>
    <row r="11">
      <c r="A11" s="19" t="n">
        <v>46309</v>
      </c>
      <c r="B11" s="20" t="n">
        <v>0.9375</v>
      </c>
      <c r="C11" s="20" t="n">
        <v>0.9583333333333334</v>
      </c>
      <c r="D11" s="6" t="n">
        <v>0</v>
      </c>
      <c r="E11" s="6">
        <f>ROUND(MOD(C11-B11,1)*1440,0)-D11</f>
        <v/>
      </c>
      <c r="F11" s="6" t="inlineStr">
        <is>
          <t>Documentación</t>
        </is>
      </c>
      <c r="G11" s="6" t="inlineStr">
        <is>
          <t>SCRUM-77</t>
        </is>
      </c>
      <c r="H11" s="6" t="inlineStr">
        <is>
          <t>Redacción, revisión y PR: ESLint, Prettier y paso de lint en el pipeline</t>
        </is>
      </c>
    </row>
    <row r="12">
      <c r="A12" s="19" t="n">
        <v>46309</v>
      </c>
      <c r="B12" s="20" t="n">
        <v>0.9791666666666666</v>
      </c>
      <c r="C12" s="20" t="n">
        <v>0.02083333333333333</v>
      </c>
      <c r="D12" s="6" t="n">
        <v>0</v>
      </c>
      <c r="E12" s="6">
        <f>ROUND(MOD(C12-B12,1)*1440,0)-D12</f>
        <v/>
      </c>
      <c r="F12" s="6" t="inlineStr">
        <is>
          <t>Planificación</t>
        </is>
      </c>
      <c r="G12" s="6" t="inlineStr">
        <is>
          <t>SCRUM-94</t>
        </is>
      </c>
      <c r="H12" s="6" t="inlineStr">
        <is>
          <t>Alcance, criterios de aceptación y plan de trabajo de PROD-1</t>
        </is>
      </c>
    </row>
    <row r="13">
      <c r="A13" s="19" t="n">
        <v>46310</v>
      </c>
      <c r="B13" s="20" t="n">
        <v>0.7083333333333334</v>
      </c>
      <c r="C13" s="20" t="n">
        <v>0.8333333333333334</v>
      </c>
      <c r="D13" s="6" t="n">
        <v>0</v>
      </c>
      <c r="E13" s="6">
        <f>ROUND(MOD(C13-B13,1)*1440,0)-D13</f>
        <v/>
      </c>
      <c r="F13" s="6" t="inlineStr">
        <is>
          <t>Pruebas</t>
        </is>
      </c>
      <c r="G13" s="6" t="inlineStr">
        <is>
          <t>SCRUM-77</t>
        </is>
      </c>
      <c r="H13" s="6" t="inlineStr">
        <is>
          <t>Pruebas y verificación: ESLint, Prettier y paso de lint en el pipeline</t>
        </is>
      </c>
    </row>
    <row r="14">
      <c r="A14" s="19" t="n">
        <v>46310</v>
      </c>
      <c r="B14" s="20" t="n">
        <v>0.8541666666666666</v>
      </c>
      <c r="C14" s="20" t="n">
        <v>0.9895833333333334</v>
      </c>
      <c r="D14" s="6" t="n">
        <v>15</v>
      </c>
      <c r="E14" s="6">
        <f>ROUND(MOD(C14-B14,1)*1440,0)-D14</f>
        <v/>
      </c>
      <c r="F14" s="6" t="inlineStr">
        <is>
          <t>Código</t>
        </is>
      </c>
      <c r="G14" s="6" t="inlineStr">
        <is>
          <t>SCRUM-94</t>
        </is>
      </c>
      <c r="H14" s="6" t="inlineStr">
        <is>
          <t>Implementación: Servidor de producción con URL pública verificable</t>
        </is>
      </c>
    </row>
    <row r="15">
      <c r="A15" s="19" t="n">
        <v>46311</v>
      </c>
      <c r="B15" s="20" t="n">
        <v>0.7083333333333334</v>
      </c>
      <c r="C15" s="20" t="n">
        <v>0.8125</v>
      </c>
      <c r="D15" s="6" t="n">
        <v>0</v>
      </c>
      <c r="E15" s="6">
        <f>ROUND(MOD(C15-B15,1)*1440,0)-D15</f>
        <v/>
      </c>
      <c r="F15" s="6" t="inlineStr">
        <is>
          <t>Código</t>
        </is>
      </c>
      <c r="G15" s="6" t="inlineStr">
        <is>
          <t>SCRUM-69</t>
        </is>
      </c>
      <c r="H15" s="6" t="inlineStr">
        <is>
          <t>Implementación: Actualizar dependencias vulnerables y auditar en CI</t>
        </is>
      </c>
    </row>
    <row r="16">
      <c r="A16" s="19" t="n">
        <v>46311</v>
      </c>
      <c r="B16" s="20" t="n">
        <v>0.8333333333333334</v>
      </c>
      <c r="C16" s="20" t="n">
        <v>0.9583333333333334</v>
      </c>
      <c r="D16" s="6" t="n">
        <v>0</v>
      </c>
      <c r="E16" s="6">
        <f>ROUND(MOD(C16-B16,1)*1440,0)-D16</f>
        <v/>
      </c>
      <c r="F16" s="6" t="inlineStr">
        <is>
          <t>Código</t>
        </is>
      </c>
      <c r="G16" s="6" t="inlineStr">
        <is>
          <t>SCRUM-94</t>
        </is>
      </c>
      <c r="H16" s="6" t="inlineStr">
        <is>
          <t>Implementación: Servidor de producción con URL pública verificable (parte 2)</t>
        </is>
      </c>
    </row>
    <row r="17">
      <c r="A17" s="19" t="n">
        <v>46312</v>
      </c>
      <c r="B17" s="20" t="n">
        <v>0.375</v>
      </c>
      <c r="C17" s="20" t="n">
        <v>0.4166666666666667</v>
      </c>
      <c r="D17" s="6" t="n">
        <v>0</v>
      </c>
      <c r="E17" s="6">
        <f>ROUND(MOD(C17-B17,1)*1440,0)-D17</f>
        <v/>
      </c>
      <c r="F17" s="6" t="inlineStr">
        <is>
          <t>Planificación</t>
        </is>
      </c>
      <c r="G17" s="6" t="inlineStr">
        <is>
          <t>SCRUM-106</t>
        </is>
      </c>
      <c r="H17" s="6" t="inlineStr">
        <is>
          <t>Alcance, criterios de aceptación y plan de trabajo de UI-2</t>
        </is>
      </c>
    </row>
    <row r="18">
      <c r="A18" s="19" t="n">
        <v>46312</v>
      </c>
      <c r="B18" s="20" t="n">
        <v>0.4375</v>
      </c>
      <c r="C18" s="20" t="n">
        <v>0.5625</v>
      </c>
      <c r="D18" s="6" t="n">
        <v>0</v>
      </c>
      <c r="E18" s="6">
        <f>ROUND(MOD(C18-B18,1)*1440,0)-D18</f>
        <v/>
      </c>
      <c r="F18" s="6" t="inlineStr">
        <is>
          <t>Código</t>
        </is>
      </c>
      <c r="G18" s="6" t="inlineStr">
        <is>
          <t>SCRUM-106</t>
        </is>
      </c>
      <c r="H18" s="6" t="inlineStr">
        <is>
          <t>Implementación: Consistencia de superficies, correcciones de layout y página 404</t>
        </is>
      </c>
    </row>
    <row r="19">
      <c r="A19" s="19" t="n">
        <v>46312</v>
      </c>
      <c r="B19" s="20" t="n">
        <v>0.5833333333333334</v>
      </c>
      <c r="C19" s="20" t="n">
        <v>0.7083333333333334</v>
      </c>
      <c r="D19" s="6" t="n">
        <v>0</v>
      </c>
      <c r="E19" s="6">
        <f>ROUND(MOD(C19-B19,1)*1440,0)-D19</f>
        <v/>
      </c>
      <c r="F19" s="6" t="inlineStr">
        <is>
          <t>Código</t>
        </is>
      </c>
      <c r="G19" s="6" t="inlineStr">
        <is>
          <t>SCRUM-106</t>
        </is>
      </c>
      <c r="H19" s="6" t="inlineStr">
        <is>
          <t>Implementación: Consistencia de superficies, correcciones de layout y página 404 (parte 2)</t>
        </is>
      </c>
    </row>
    <row r="20">
      <c r="A20" s="19" t="n">
        <v>46312</v>
      </c>
      <c r="B20" s="20" t="n">
        <v>0.7291666666666666</v>
      </c>
      <c r="C20" s="20" t="n">
        <v>0.75</v>
      </c>
      <c r="D20" s="6" t="n">
        <v>0</v>
      </c>
      <c r="E20" s="6">
        <f>ROUND(MOD(C20-B20,1)*1440,0)-D20</f>
        <v/>
      </c>
      <c r="F20" s="6" t="inlineStr">
        <is>
          <t>Documentación</t>
        </is>
      </c>
      <c r="G20" s="6" t="inlineStr">
        <is>
          <t>SCRUM-106</t>
        </is>
      </c>
      <c r="H20" s="6" t="inlineStr">
        <is>
          <t>Redacción, revisión y PR: Consistencia de superficies, correcciones de layout y página 404</t>
        </is>
      </c>
    </row>
    <row r="21">
      <c r="A21" s="19" t="n">
        <v>46313</v>
      </c>
      <c r="B21" s="20" t="n">
        <v>0.375</v>
      </c>
      <c r="C21" s="20" t="n">
        <v>0.5</v>
      </c>
      <c r="D21" s="6" t="n">
        <v>0</v>
      </c>
      <c r="E21" s="6">
        <f>ROUND(MOD(C21-B21,1)*1440,0)-D21</f>
        <v/>
      </c>
      <c r="F21" s="6" t="inlineStr">
        <is>
          <t>Código</t>
        </is>
      </c>
      <c r="G21" s="6" t="inlineStr">
        <is>
          <t>SCRUM-106</t>
        </is>
      </c>
      <c r="H21" s="6" t="inlineStr">
        <is>
          <t>Implementación: Consistencia de superficies, correcciones de layout y página 404 (parte 3)</t>
        </is>
      </c>
    </row>
    <row r="22">
      <c r="A22" s="19" t="n">
        <v>46313</v>
      </c>
      <c r="B22" s="20" t="n">
        <v>0.5208333333333334</v>
      </c>
      <c r="C22" s="20" t="n">
        <v>0.625</v>
      </c>
      <c r="D22" s="6" t="n">
        <v>0</v>
      </c>
      <c r="E22" s="6">
        <f>ROUND(MOD(C22-B22,1)*1440,0)-D22</f>
        <v/>
      </c>
      <c r="F22" s="6" t="inlineStr">
        <is>
          <t>Pruebas</t>
        </is>
      </c>
      <c r="G22" s="6" t="inlineStr">
        <is>
          <t>SCRUM-106</t>
        </is>
      </c>
      <c r="H22" s="6" t="inlineStr">
        <is>
          <t>Pruebas y verificación: Consistencia de superficies, correcciones de layout y página 404</t>
        </is>
      </c>
    </row>
    <row r="23">
      <c r="A23" s="19" t="n">
        <v>46314</v>
      </c>
      <c r="B23" s="20" t="n">
        <v>0.7083333333333334</v>
      </c>
      <c r="C23" s="20" t="n">
        <v>0.8229166666666666</v>
      </c>
      <c r="D23" s="6" t="n">
        <v>15</v>
      </c>
      <c r="E23" s="6">
        <f>ROUND(MOD(C23-B23,1)*1440,0)-D23</f>
        <v/>
      </c>
      <c r="F23" s="6" t="inlineStr">
        <is>
          <t>Pruebas</t>
        </is>
      </c>
      <c r="G23" s="6" t="inlineStr">
        <is>
          <t>SCRUM-94</t>
        </is>
      </c>
      <c r="H23" s="6" t="inlineStr">
        <is>
          <t>Pruebas y verificación: Servidor de producción con URL pública verificable</t>
        </is>
      </c>
    </row>
    <row r="24">
      <c r="A24" s="19" t="n">
        <v>46315</v>
      </c>
      <c r="B24" s="20" t="n">
        <v>0.7083333333333334</v>
      </c>
      <c r="C24" s="20" t="n">
        <v>0.7916666666666666</v>
      </c>
      <c r="D24" s="6" t="n">
        <v>0</v>
      </c>
      <c r="E24" s="6">
        <f>ROUND(MOD(C24-B24,1)*1440,0)-D24</f>
        <v/>
      </c>
      <c r="F24" s="6" t="inlineStr">
        <is>
          <t>Pruebas</t>
        </is>
      </c>
      <c r="G24" s="6" t="inlineStr">
        <is>
          <t>SCRUM-69</t>
        </is>
      </c>
      <c r="H24" s="6" t="inlineStr">
        <is>
          <t>Pruebas y verificación: Actualizar dependencias vulnerables y auditar en CI</t>
        </is>
      </c>
    </row>
    <row r="25">
      <c r="A25" s="19" t="n">
        <v>46315</v>
      </c>
      <c r="B25" s="20" t="n">
        <v>0.8125</v>
      </c>
      <c r="C25" s="20" t="n">
        <v>0.9375</v>
      </c>
      <c r="D25" s="6" t="n">
        <v>0</v>
      </c>
      <c r="E25" s="6">
        <f>ROUND(MOD(C25-B25,1)*1440,0)-D25</f>
        <v/>
      </c>
      <c r="F25" s="6" t="inlineStr">
        <is>
          <t>Código</t>
        </is>
      </c>
      <c r="G25" s="6" t="inlineStr">
        <is>
          <t>SCRUM-94</t>
        </is>
      </c>
      <c r="H25" s="6" t="inlineStr">
        <is>
          <t>Implementación: Servidor de producción con URL pública verificable (parte 3)</t>
        </is>
      </c>
    </row>
    <row r="26">
      <c r="A26" s="19" t="n">
        <v>46315</v>
      </c>
      <c r="B26" s="20" t="n">
        <v>0.9583333333333334</v>
      </c>
      <c r="C26" s="20" t="n">
        <v>0.9791666666666666</v>
      </c>
      <c r="D26" s="6" t="n">
        <v>0</v>
      </c>
      <c r="E26" s="6">
        <f>ROUND(MOD(C26-B26,1)*1440,0)-D26</f>
        <v/>
      </c>
      <c r="F26" s="6" t="inlineStr">
        <is>
          <t>Documentación</t>
        </is>
      </c>
      <c r="G26" s="6" t="inlineStr">
        <is>
          <t>SCRUM-94</t>
        </is>
      </c>
      <c r="H26" s="6" t="inlineStr">
        <is>
          <t>Redacción, revisión y PR: Servidor de producción con URL pública verificable</t>
        </is>
      </c>
    </row>
    <row r="27">
      <c r="A27" s="19" t="n">
        <v>46316</v>
      </c>
      <c r="B27" s="20" t="n">
        <v>0.7083333333333334</v>
      </c>
      <c r="C27" s="20" t="n">
        <v>0.75</v>
      </c>
      <c r="D27" s="6" t="n">
        <v>0</v>
      </c>
      <c r="E27" s="6">
        <f>ROUND(MOD(C27-B27,1)*1440,0)-D27</f>
        <v/>
      </c>
      <c r="F27" s="6" t="inlineStr">
        <is>
          <t>Planificación</t>
        </is>
      </c>
      <c r="G27" s="6" t="inlineStr">
        <is>
          <t>SCRUM-82</t>
        </is>
      </c>
      <c r="H27" s="6" t="inlineStr">
        <is>
          <t>Alcance, criterios de aceptación y plan de trabajo de PAY-1</t>
        </is>
      </c>
    </row>
    <row r="28">
      <c r="A28" s="19" t="n">
        <v>46316</v>
      </c>
      <c r="B28" s="20" t="n">
        <v>0.7708333333333334</v>
      </c>
      <c r="C28" s="20" t="n">
        <v>0.9097222222222222</v>
      </c>
      <c r="D28" s="6" t="n">
        <v>0</v>
      </c>
      <c r="E28" s="6">
        <f>ROUND(MOD(C28-B28,1)*1440,0)-D28</f>
        <v/>
      </c>
      <c r="F28" s="6" t="inlineStr">
        <is>
          <t>Código</t>
        </is>
      </c>
      <c r="G28" s="6" t="inlineStr">
        <is>
          <t>SCRUM-82</t>
        </is>
      </c>
      <c r="H28" s="6" t="inlineStr">
        <is>
          <t>Implementación: Módulo de suscripciones con pasarela de pago en modo de prueba</t>
        </is>
      </c>
    </row>
    <row r="29">
      <c r="A29" s="19" t="n">
        <v>46317</v>
      </c>
      <c r="B29" s="20" t="n">
        <v>0.7083333333333334</v>
      </c>
      <c r="C29" s="20" t="n">
        <v>0.8576388888888888</v>
      </c>
      <c r="D29" s="6" t="n">
        <v>15</v>
      </c>
      <c r="E29" s="6">
        <f>ROUND(MOD(C29-B29,1)*1440,0)-D29</f>
        <v/>
      </c>
      <c r="F29" s="6" t="inlineStr">
        <is>
          <t>Código</t>
        </is>
      </c>
      <c r="G29" s="6" t="inlineStr">
        <is>
          <t>SCRUM-82</t>
        </is>
      </c>
      <c r="H29" s="6" t="inlineStr">
        <is>
          <t>Implementación: Módulo de suscripciones con pasarela de pago en modo de prueba (parte 2)</t>
        </is>
      </c>
    </row>
    <row r="30">
      <c r="A30" s="19" t="n">
        <v>46318</v>
      </c>
      <c r="B30" s="20" t="n">
        <v>0.7083333333333334</v>
      </c>
      <c r="C30" s="20" t="n">
        <v>0.7291666666666666</v>
      </c>
      <c r="D30" s="6" t="n">
        <v>0</v>
      </c>
      <c r="E30" s="6">
        <f>ROUND(MOD(C30-B30,1)*1440,0)-D30</f>
        <v/>
      </c>
      <c r="F30" s="6" t="inlineStr">
        <is>
          <t>Documentación</t>
        </is>
      </c>
      <c r="G30" s="6" t="inlineStr">
        <is>
          <t>SCRUM-69</t>
        </is>
      </c>
      <c r="H30" s="6" t="inlineStr">
        <is>
          <t>Redacción, revisión y PR: Actualizar dependencias vulnerables y auditar en CI</t>
        </is>
      </c>
    </row>
    <row r="31">
      <c r="A31" s="19" t="n">
        <v>46318</v>
      </c>
      <c r="B31" s="20" t="n">
        <v>0.75</v>
      </c>
      <c r="C31" s="20" t="n">
        <v>0.8888888888888888</v>
      </c>
      <c r="D31" s="6" t="n">
        <v>0</v>
      </c>
      <c r="E31" s="6">
        <f>ROUND(MOD(C31-B31,1)*1440,0)-D31</f>
        <v/>
      </c>
      <c r="F31" s="6" t="inlineStr">
        <is>
          <t>Código</t>
        </is>
      </c>
      <c r="G31" s="6" t="inlineStr">
        <is>
          <t>SCRUM-82</t>
        </is>
      </c>
      <c r="H31" s="6" t="inlineStr">
        <is>
          <t>Implementación: Módulo de suscripciones con pasarela de pago en modo de prueba (parte 3)</t>
        </is>
      </c>
    </row>
    <row r="32">
      <c r="A32" s="19" t="n">
        <v>46319</v>
      </c>
      <c r="B32" s="20" t="n">
        <v>0.375</v>
      </c>
      <c r="C32" s="20" t="n">
        <v>0.5243055555555556</v>
      </c>
      <c r="D32" s="6" t="n">
        <v>15</v>
      </c>
      <c r="E32" s="6">
        <f>ROUND(MOD(C32-B32,1)*1440,0)-D32</f>
        <v/>
      </c>
      <c r="F32" s="6" t="inlineStr">
        <is>
          <t>Código</t>
        </is>
      </c>
      <c r="G32" s="6" t="inlineStr">
        <is>
          <t>SCRUM-82</t>
        </is>
      </c>
      <c r="H32" s="6" t="inlineStr">
        <is>
          <t>Implementación: Módulo de suscripciones con pasarela de pago en modo de prueba (parte 4)</t>
        </is>
      </c>
    </row>
    <row r="33">
      <c r="A33" s="19" t="n">
        <v>46319</v>
      </c>
      <c r="B33" s="20" t="n">
        <v>0.5451388888888888</v>
      </c>
      <c r="C33" s="20" t="n">
        <v>0.6840277777777778</v>
      </c>
      <c r="D33" s="6" t="n">
        <v>0</v>
      </c>
      <c r="E33" s="6">
        <f>ROUND(MOD(C33-B33,1)*1440,0)-D33</f>
        <v/>
      </c>
      <c r="F33" s="6" t="inlineStr">
        <is>
          <t>Código</t>
        </is>
      </c>
      <c r="G33" s="6" t="inlineStr">
        <is>
          <t>SCRUM-82</t>
        </is>
      </c>
      <c r="H33" s="6" t="inlineStr">
        <is>
          <t>Implementación: Módulo de suscripciones con pasarela de pago en modo de prueba (parte 5)</t>
        </is>
      </c>
    </row>
    <row r="34">
      <c r="A34" s="19" t="n">
        <v>46320</v>
      </c>
      <c r="B34" s="20" t="n">
        <v>0.375</v>
      </c>
      <c r="C34" s="20" t="n">
        <v>0.4583333333333333</v>
      </c>
      <c r="D34" s="6" t="n">
        <v>0</v>
      </c>
      <c r="E34" s="6">
        <f>ROUND(MOD(C34-B34,1)*1440,0)-D34</f>
        <v/>
      </c>
      <c r="F34" s="6" t="inlineStr">
        <is>
          <t>Pruebas</t>
        </is>
      </c>
      <c r="G34" s="6" t="inlineStr">
        <is>
          <t>SCRUM-86</t>
        </is>
      </c>
      <c r="H34" s="6" t="inlineStr">
        <is>
          <t>Pruebas y verificación: Aviso de uso del asistente de IA</t>
        </is>
      </c>
    </row>
    <row r="35">
      <c r="A35" s="19" t="n">
        <v>46320</v>
      </c>
      <c r="B35" s="20" t="n">
        <v>0.4791666666666667</v>
      </c>
      <c r="C35" s="20" t="n">
        <v>0.5</v>
      </c>
      <c r="D35" s="6" t="n">
        <v>0</v>
      </c>
      <c r="E35" s="6">
        <f>ROUND(MOD(C35-B35,1)*1440,0)-D35</f>
        <v/>
      </c>
      <c r="F35" s="6" t="inlineStr">
        <is>
          <t>Documentación</t>
        </is>
      </c>
      <c r="G35" s="6" t="inlineStr">
        <is>
          <t>SCRUM-86</t>
        </is>
      </c>
      <c r="H35" s="6" t="inlineStr">
        <is>
          <t>Redacción, revisión y PR: Aviso de uso del asistente de IA</t>
        </is>
      </c>
    </row>
    <row r="36">
      <c r="A36" s="19" t="n">
        <v>46320</v>
      </c>
      <c r="B36" s="20" t="n">
        <v>0.5208333333333334</v>
      </c>
      <c r="C36" s="20" t="n">
        <v>0.6666666666666666</v>
      </c>
      <c r="D36" s="6" t="n">
        <v>0</v>
      </c>
      <c r="E36" s="6">
        <f>ROUND(MOD(C36-B36,1)*1440,0)-D36</f>
        <v/>
      </c>
      <c r="F36" s="6" t="inlineStr">
        <is>
          <t>Documentación</t>
        </is>
      </c>
      <c r="G36" s="6" t="inlineStr">
        <is>
          <t>SCRUM-99</t>
        </is>
      </c>
      <c r="H36" s="6" t="inlineStr">
        <is>
          <t>Redacción, revisión y PR: Evidencia de integración continua y comparación de rendimiento (parte 2)</t>
        </is>
      </c>
    </row>
    <row r="37">
      <c r="A37" s="19" t="n">
        <v>46321</v>
      </c>
      <c r="B37" s="20" t="n">
        <v>0.7083333333333334</v>
      </c>
      <c r="C37" s="20" t="n">
        <v>0.8263888888888888</v>
      </c>
      <c r="D37" s="6" t="n">
        <v>0</v>
      </c>
      <c r="E37" s="6">
        <f>ROUND(MOD(C37-B37,1)*1440,0)-D37</f>
        <v/>
      </c>
      <c r="F37" s="6" t="inlineStr">
        <is>
          <t>Pruebas</t>
        </is>
      </c>
      <c r="G37" s="6" t="inlineStr">
        <is>
          <t>SCRUM-82</t>
        </is>
      </c>
      <c r="H37" s="6" t="inlineStr">
        <is>
          <t>Pruebas y verificación: Módulo de suscripciones con pasarela de pago en modo de prueba</t>
        </is>
      </c>
    </row>
    <row r="38">
      <c r="A38" s="19" t="n">
        <v>46321</v>
      </c>
      <c r="B38" s="20" t="n">
        <v>0.8472222222222222</v>
      </c>
      <c r="C38" s="20" t="n">
        <v>0.8680555555555556</v>
      </c>
      <c r="D38" s="6" t="n">
        <v>0</v>
      </c>
      <c r="E38" s="6">
        <f>ROUND(MOD(C38-B38,1)*1440,0)-D38</f>
        <v/>
      </c>
      <c r="F38" s="6" t="inlineStr">
        <is>
          <t>Documentación</t>
        </is>
      </c>
      <c r="G38" s="6" t="inlineStr">
        <is>
          <t>SCRUM-82</t>
        </is>
      </c>
      <c r="H38" s="6" t="inlineStr">
        <is>
          <t>Redacción, revisión y PR: Módulo de suscripciones con pasarela de pago en modo de prueba</t>
        </is>
      </c>
    </row>
    <row r="39">
      <c r="A39" s="19" t="n">
        <v>46321</v>
      </c>
      <c r="B39" s="20" t="n">
        <v>0.8888888888888888</v>
      </c>
      <c r="C39" s="20" t="n">
        <v>0.9930555555555556</v>
      </c>
      <c r="D39" s="6" t="n">
        <v>0</v>
      </c>
      <c r="E39" s="6">
        <f>ROUND(MOD(C39-B39,1)*1440,0)-D39</f>
        <v/>
      </c>
      <c r="F39" s="6" t="inlineStr">
        <is>
          <t>Código</t>
        </is>
      </c>
      <c r="G39" s="6" t="inlineStr">
        <is>
          <t>SCRUM-86</t>
        </is>
      </c>
      <c r="H39" s="6" t="inlineStr">
        <is>
          <t>Implementación: Aviso de uso del asistente de IA</t>
        </is>
      </c>
    </row>
    <row r="40">
      <c r="A40" s="19" t="n">
        <v>46322</v>
      </c>
      <c r="B40" s="20" t="n">
        <v>0.7083333333333334</v>
      </c>
      <c r="C40" s="20" t="n">
        <v>0.75</v>
      </c>
      <c r="D40" s="6" t="n">
        <v>0</v>
      </c>
      <c r="E40" s="6">
        <f>ROUND(MOD(C40-B40,1)*1440,0)-D40</f>
        <v/>
      </c>
      <c r="F40" s="6" t="inlineStr">
        <is>
          <t>Planificación</t>
        </is>
      </c>
      <c r="G40" s="6" t="inlineStr">
        <is>
          <t>SCRUM-99</t>
        </is>
      </c>
      <c r="H40" s="6" t="inlineStr">
        <is>
          <t>Alcance, criterios de aceptación y plan de trabajo de CI-1</t>
        </is>
      </c>
    </row>
    <row r="41">
      <c r="A41" s="19" t="n">
        <v>46322</v>
      </c>
      <c r="B41" s="20" t="n">
        <v>0.7708333333333334</v>
      </c>
      <c r="C41" s="20" t="n">
        <v>0.9270833333333334</v>
      </c>
      <c r="D41" s="6" t="n">
        <v>15</v>
      </c>
      <c r="E41" s="6">
        <f>ROUND(MOD(C41-B41,1)*1440,0)-D41</f>
        <v/>
      </c>
      <c r="F41" s="6" t="inlineStr">
        <is>
          <t>Documentación</t>
        </is>
      </c>
      <c r="G41" s="6" t="inlineStr">
        <is>
          <t>SCRUM-99</t>
        </is>
      </c>
      <c r="H41" s="6" t="inlineStr">
        <is>
          <t>Redacción, revisión y PR: Evidencia de integración continua y comparación de rendimiento</t>
        </is>
      </c>
    </row>
    <row r="42">
      <c r="A42" s="10" t="inlineStr">
        <is>
          <t>Total</t>
        </is>
      </c>
      <c r="B42" s="10" t="n"/>
      <c r="C42" s="10" t="n"/>
      <c r="D42" s="10">
        <f>SUM(D9:D41)</f>
        <v/>
      </c>
      <c r="E42" s="10">
        <f>SUM(E9:E41)</f>
        <v/>
      </c>
      <c r="F42" s="10" t="n"/>
      <c r="G42" s="10" t="n"/>
      <c r="H42" s="10" t="n"/>
    </row>
    <row r="43">
      <c r="A43" s="10" t="inlineStr">
        <is>
          <t>Total en horas</t>
        </is>
      </c>
      <c r="B43" s="10" t="n"/>
      <c r="C43" s="10" t="n"/>
      <c r="D43" s="10" t="n"/>
      <c r="E43" s="16">
        <f>E42/60</f>
        <v/>
      </c>
      <c r="F43" s="10" t="n"/>
      <c r="G43" s="10" t="n"/>
      <c r="H43" s="10" t="n"/>
    </row>
    <row r="45">
      <c r="A45" t="inlineStr">
        <is>
          <t>Nota: registro reconstruido a partir de la estimación original de cada tarea en Jira y de las fechas de los commits del sprint. Cada integrante debe revisarlo y ajustarlo a su tiempo real.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12" customWidth="1" min="1" max="1"/>
    <col width="8" customWidth="1" min="2" max="2"/>
    <col width="8" customWidth="1" min="3" max="3"/>
    <col width="13" customWidth="1" min="4" max="4"/>
    <col width="13" customWidth="1" min="5" max="5"/>
    <col width="16" customWidth="1" min="6" max="6"/>
    <col width="12" customWidth="1" min="7" max="7"/>
    <col width="70" customWidth="1" min="8" max="8"/>
  </cols>
  <sheetData>
    <row r="1">
      <c r="A1" s="15" t="inlineStr">
        <is>
          <t>Registro de tiempo (LOGT) · Sprint 10</t>
        </is>
      </c>
    </row>
    <row r="3">
      <c r="A3" s="2" t="inlineStr">
        <is>
          <t>Integrante</t>
        </is>
      </c>
      <c r="B3" t="inlineStr">
        <is>
          <t>Jonathan Tubac</t>
        </is>
      </c>
    </row>
    <row r="4">
      <c r="A4" s="2" t="inlineStr">
        <is>
          <t>Carné</t>
        </is>
      </c>
      <c r="B4" t="inlineStr">
        <is>
          <t>24484</t>
        </is>
      </c>
    </row>
    <row r="5">
      <c r="A5" s="2" t="inlineStr">
        <is>
          <t>Sprint</t>
        </is>
      </c>
      <c r="B5" t="inlineStr">
        <is>
          <t>Sprint 10 (Jira: SCRUM Sprint 5), 14/10/2026 – 27/10/2026</t>
        </is>
      </c>
    </row>
    <row r="6">
      <c r="A6" s="2" t="inlineStr">
        <is>
          <t>Proyecto</t>
        </is>
      </c>
      <c r="B6" t="inlineStr">
        <is>
          <t>Kontrol</t>
        </is>
      </c>
    </row>
    <row r="8">
      <c r="A8" s="5" t="inlineStr">
        <is>
          <t>Fecha</t>
        </is>
      </c>
      <c r="B8" s="5" t="inlineStr">
        <is>
          <t>Inicio</t>
        </is>
      </c>
      <c r="C8" s="5" t="inlineStr">
        <is>
          <t>Fin</t>
        </is>
      </c>
      <c r="D8" s="5" t="inlineStr">
        <is>
          <t>Interrupción (min)</t>
        </is>
      </c>
      <c r="E8" s="5" t="inlineStr">
        <is>
          <t>Δ Tiempo (min)</t>
        </is>
      </c>
      <c r="F8" s="5" t="inlineStr">
        <is>
          <t>Fase / actividad</t>
        </is>
      </c>
      <c r="G8" s="5" t="inlineStr">
        <is>
          <t>Tarea Jira</t>
        </is>
      </c>
      <c r="H8" s="5" t="inlineStr">
        <is>
          <t>Comentarios</t>
        </is>
      </c>
    </row>
    <row r="9">
      <c r="A9" s="19" t="n">
        <v>46310</v>
      </c>
      <c r="B9" s="20" t="n">
        <v>0.7083333333333334</v>
      </c>
      <c r="C9" s="20" t="n">
        <v>0.75</v>
      </c>
      <c r="D9" s="6" t="n">
        <v>0</v>
      </c>
      <c r="E9" s="6">
        <f>ROUND(MOD(C9-B9,1)*1440,0)-D9</f>
        <v/>
      </c>
      <c r="F9" s="6" t="inlineStr">
        <is>
          <t>Planificación</t>
        </is>
      </c>
      <c r="G9" s="6" t="inlineStr">
        <is>
          <t>SCRUM-78</t>
        </is>
      </c>
      <c r="H9" s="6" t="inlineStr">
        <is>
          <t>Alcance, criterios de aceptación y plan de trabajo de L-7</t>
        </is>
      </c>
    </row>
    <row r="10">
      <c r="A10" s="19" t="n">
        <v>46310</v>
      </c>
      <c r="B10" s="20" t="n">
        <v>0.7708333333333334</v>
      </c>
      <c r="C10" s="20" t="n">
        <v>0.9166666666666666</v>
      </c>
      <c r="D10" s="6" t="n">
        <v>0</v>
      </c>
      <c r="E10" s="6">
        <f>ROUND(MOD(C10-B10,1)*1440,0)-D10</f>
        <v/>
      </c>
      <c r="F10" s="6" t="inlineStr">
        <is>
          <t>Documentación</t>
        </is>
      </c>
      <c r="G10" s="6" t="inlineStr">
        <is>
          <t>SCRUM-78</t>
        </is>
      </c>
      <c r="H10" s="6" t="inlineStr">
        <is>
          <t>Redacción, revisión y PR: Análisis de brecha fiscal del POS frente al régimen FEL de la SAT</t>
        </is>
      </c>
    </row>
    <row r="11">
      <c r="A11" s="19" t="n">
        <v>46311</v>
      </c>
      <c r="B11" s="20" t="n">
        <v>0.7083333333333334</v>
      </c>
      <c r="C11" s="20" t="n">
        <v>0.8645833333333334</v>
      </c>
      <c r="D11" s="6" t="n">
        <v>15</v>
      </c>
      <c r="E11" s="6">
        <f>ROUND(MOD(C11-B11,1)*1440,0)-D11</f>
        <v/>
      </c>
      <c r="F11" s="6" t="inlineStr">
        <is>
          <t>Documentación</t>
        </is>
      </c>
      <c r="G11" s="6" t="inlineStr">
        <is>
          <t>SCRUM-78</t>
        </is>
      </c>
      <c r="H11" s="6" t="inlineStr">
        <is>
          <t>Redacción, revisión y PR: Análisis de brecha fiscal del POS frente al régimen FEL de la SAT (parte 2)</t>
        </is>
      </c>
    </row>
    <row r="12">
      <c r="A12" s="19" t="n">
        <v>46313</v>
      </c>
      <c r="B12" s="20" t="n">
        <v>0.375</v>
      </c>
      <c r="C12" s="20" t="n">
        <v>0.4166666666666667</v>
      </c>
      <c r="D12" s="6" t="n">
        <v>0</v>
      </c>
      <c r="E12" s="6">
        <f>ROUND(MOD(C12-B12,1)*1440,0)-D12</f>
        <v/>
      </c>
      <c r="F12" s="6" t="inlineStr">
        <is>
          <t>Planificación</t>
        </is>
      </c>
      <c r="G12" s="6" t="inlineStr">
        <is>
          <t>SCRUM-95</t>
        </is>
      </c>
      <c r="H12" s="6" t="inlineStr">
        <is>
          <t>Alcance, criterios de aceptación y plan de trabajo de TEST-1</t>
        </is>
      </c>
    </row>
    <row r="13">
      <c r="A13" s="19" t="n">
        <v>46313</v>
      </c>
      <c r="B13" s="20" t="n">
        <v>0.4375</v>
      </c>
      <c r="C13" s="20" t="n">
        <v>0.5625</v>
      </c>
      <c r="D13" s="6" t="n">
        <v>0</v>
      </c>
      <c r="E13" s="6">
        <f>ROUND(MOD(C13-B13,1)*1440,0)-D13</f>
        <v/>
      </c>
      <c r="F13" s="6" t="inlineStr">
        <is>
          <t>Código</t>
        </is>
      </c>
      <c r="G13" s="6" t="inlineStr">
        <is>
          <t>SCRUM-95</t>
        </is>
      </c>
      <c r="H13" s="6" t="inlineStr">
        <is>
          <t>Implementación: Suite de pruebas de integración en el pipeline de CI</t>
        </is>
      </c>
    </row>
    <row r="14">
      <c r="A14" s="19" t="n">
        <v>46314</v>
      </c>
      <c r="B14" s="20" t="n">
        <v>0.7083333333333334</v>
      </c>
      <c r="C14" s="20" t="n">
        <v>0.84375</v>
      </c>
      <c r="D14" s="6" t="n">
        <v>15</v>
      </c>
      <c r="E14" s="6">
        <f>ROUND(MOD(C14-B14,1)*1440,0)-D14</f>
        <v/>
      </c>
      <c r="F14" s="6" t="inlineStr">
        <is>
          <t>Código</t>
        </is>
      </c>
      <c r="G14" s="6" t="inlineStr">
        <is>
          <t>SCRUM-95</t>
        </is>
      </c>
      <c r="H14" s="6" t="inlineStr">
        <is>
          <t>Implementación: Suite de pruebas de integración en el pipeline de CI (parte 2)</t>
        </is>
      </c>
    </row>
    <row r="15">
      <c r="A15" s="19" t="n">
        <v>46314</v>
      </c>
      <c r="B15" s="20" t="n">
        <v>0.8645833333333334</v>
      </c>
      <c r="C15" s="20" t="n">
        <v>0.9895833333333334</v>
      </c>
      <c r="D15" s="6" t="n">
        <v>0</v>
      </c>
      <c r="E15" s="6">
        <f>ROUND(MOD(C15-B15,1)*1440,0)-D15</f>
        <v/>
      </c>
      <c r="F15" s="6" t="inlineStr">
        <is>
          <t>Código</t>
        </is>
      </c>
      <c r="G15" s="6" t="inlineStr">
        <is>
          <t>SCRUM-95</t>
        </is>
      </c>
      <c r="H15" s="6" t="inlineStr">
        <is>
          <t>Implementación: Suite de pruebas de integración en el pipeline de CI (parte 3)</t>
        </is>
      </c>
    </row>
    <row r="16">
      <c r="A16" s="19" t="n">
        <v>46316</v>
      </c>
      <c r="B16" s="20" t="n">
        <v>0.7083333333333334</v>
      </c>
      <c r="C16" s="20" t="n">
        <v>0.8125</v>
      </c>
      <c r="D16" s="6" t="n">
        <v>0</v>
      </c>
      <c r="E16" s="6">
        <f>ROUND(MOD(C16-B16,1)*1440,0)-D16</f>
        <v/>
      </c>
      <c r="F16" s="6" t="inlineStr">
        <is>
          <t>Pruebas</t>
        </is>
      </c>
      <c r="G16" s="6" t="inlineStr">
        <is>
          <t>SCRUM-95</t>
        </is>
      </c>
      <c r="H16" s="6" t="inlineStr">
        <is>
          <t>Pruebas y verificación: Suite de pruebas de integración en el pipeline de CI</t>
        </is>
      </c>
    </row>
    <row r="17">
      <c r="A17" s="19" t="n">
        <v>46316</v>
      </c>
      <c r="B17" s="20" t="n">
        <v>0.8333333333333334</v>
      </c>
      <c r="C17" s="20" t="n">
        <v>0.8541666666666666</v>
      </c>
      <c r="D17" s="6" t="n">
        <v>0</v>
      </c>
      <c r="E17" s="6">
        <f>ROUND(MOD(C17-B17,1)*1440,0)-D17</f>
        <v/>
      </c>
      <c r="F17" s="6" t="inlineStr">
        <is>
          <t>Documentación</t>
        </is>
      </c>
      <c r="G17" s="6" t="inlineStr">
        <is>
          <t>SCRUM-95</t>
        </is>
      </c>
      <c r="H17" s="6" t="inlineStr">
        <is>
          <t>Redacción, revisión y PR: Suite de pruebas de integración en el pipeline de CI</t>
        </is>
      </c>
    </row>
    <row r="18">
      <c r="A18" s="19" t="n">
        <v>46317</v>
      </c>
      <c r="B18" s="20" t="n">
        <v>0.7083333333333334</v>
      </c>
      <c r="C18" s="20" t="n">
        <v>0.75</v>
      </c>
      <c r="D18" s="6" t="n">
        <v>0</v>
      </c>
      <c r="E18" s="6">
        <f>ROUND(MOD(C18-B18,1)*1440,0)-D18</f>
        <v/>
      </c>
      <c r="F18" s="6" t="inlineStr">
        <is>
          <t>Planificación</t>
        </is>
      </c>
      <c r="G18" s="6" t="inlineStr">
        <is>
          <t>SCRUM-87</t>
        </is>
      </c>
      <c r="H18" s="6" t="inlineStr">
        <is>
          <t>Alcance, criterios de aceptación y plan de trabajo de L-3</t>
        </is>
      </c>
    </row>
    <row r="19">
      <c r="A19" s="19" t="n">
        <v>46317</v>
      </c>
      <c r="B19" s="20" t="n">
        <v>0.7708333333333334</v>
      </c>
      <c r="C19" s="20" t="n">
        <v>0.9166666666666666</v>
      </c>
      <c r="D19" s="6" t="n">
        <v>0</v>
      </c>
      <c r="E19" s="6">
        <f>ROUND(MOD(C19-B19,1)*1440,0)-D19</f>
        <v/>
      </c>
      <c r="F19" s="6" t="inlineStr">
        <is>
          <t>Código</t>
        </is>
      </c>
      <c r="G19" s="6" t="inlineStr">
        <is>
          <t>SCRUM-87</t>
        </is>
      </c>
      <c r="H19" s="6" t="inlineStr">
        <is>
          <t>Implementación: Política de cookies y almacenamiento local, con banner de consentimiento</t>
        </is>
      </c>
    </row>
    <row r="20">
      <c r="A20" s="19" t="n">
        <v>46318</v>
      </c>
      <c r="B20" s="20" t="n">
        <v>0.7083333333333334</v>
      </c>
      <c r="C20" s="20" t="n">
        <v>0.84375</v>
      </c>
      <c r="D20" s="6" t="n">
        <v>15</v>
      </c>
      <c r="E20" s="6">
        <f>ROUND(MOD(C20-B20,1)*1440,0)-D20</f>
        <v/>
      </c>
      <c r="F20" s="6" t="inlineStr">
        <is>
          <t>Pruebas</t>
        </is>
      </c>
      <c r="G20" s="6" t="inlineStr">
        <is>
          <t>SCRUM-87</t>
        </is>
      </c>
      <c r="H20" s="6" t="inlineStr">
        <is>
          <t>Pruebas y verificación: Política de cookies y almacenamiento local, con banner de consentimiento</t>
        </is>
      </c>
    </row>
    <row r="21">
      <c r="A21" s="19" t="n">
        <v>46318</v>
      </c>
      <c r="B21" s="20" t="n">
        <v>0.8645833333333334</v>
      </c>
      <c r="C21" s="20" t="n">
        <v>0.8854166666666666</v>
      </c>
      <c r="D21" s="6" t="n">
        <v>0</v>
      </c>
      <c r="E21" s="6">
        <f>ROUND(MOD(C21-B21,1)*1440,0)-D21</f>
        <v/>
      </c>
      <c r="F21" s="6" t="inlineStr">
        <is>
          <t>Documentación</t>
        </is>
      </c>
      <c r="G21" s="6" t="inlineStr">
        <is>
          <t>SCRUM-87</t>
        </is>
      </c>
      <c r="H21" s="6" t="inlineStr">
        <is>
          <t>Redacción, revisión y PR: Política de cookies y almacenamiento local, con banner de consentimiento</t>
        </is>
      </c>
    </row>
    <row r="22">
      <c r="A22" s="19" t="n">
        <v>46318</v>
      </c>
      <c r="B22" s="20" t="n">
        <v>0.90625</v>
      </c>
      <c r="C22" s="20" t="n">
        <v>0.01041666666666667</v>
      </c>
      <c r="D22" s="6" t="n">
        <v>0</v>
      </c>
      <c r="E22" s="6">
        <f>ROUND(MOD(C22-B22,1)*1440,0)-D22</f>
        <v/>
      </c>
      <c r="F22" s="6" t="inlineStr">
        <is>
          <t>Pruebas</t>
        </is>
      </c>
      <c r="G22" s="6" t="inlineStr">
        <is>
          <t>SCRUM-88</t>
        </is>
      </c>
      <c r="H22" s="6" t="inlineStr">
        <is>
          <t>Pruebas y verificación: Implementación de los documentos legales en la aplicación</t>
        </is>
      </c>
    </row>
    <row r="23">
      <c r="A23" s="19" t="n">
        <v>46319</v>
      </c>
      <c r="B23" s="20" t="n">
        <v>0.375</v>
      </c>
      <c r="C23" s="20" t="n">
        <v>0.4166666666666667</v>
      </c>
      <c r="D23" s="6" t="n">
        <v>0</v>
      </c>
      <c r="E23" s="6">
        <f>ROUND(MOD(C23-B23,1)*1440,0)-D23</f>
        <v/>
      </c>
      <c r="F23" s="6" t="inlineStr">
        <is>
          <t>Planificación</t>
        </is>
      </c>
      <c r="G23" s="6" t="inlineStr">
        <is>
          <t>SCRUM-97</t>
        </is>
      </c>
      <c r="H23" s="6" t="inlineStr">
        <is>
          <t>Alcance, criterios de aceptación y plan de trabajo de TEST-2</t>
        </is>
      </c>
    </row>
    <row r="24">
      <c r="A24" s="19" t="n">
        <v>46319</v>
      </c>
      <c r="B24" s="20" t="n">
        <v>0.4375</v>
      </c>
      <c r="C24" s="20" t="n">
        <v>0.5833333333333334</v>
      </c>
      <c r="D24" s="6" t="n">
        <v>0</v>
      </c>
      <c r="E24" s="6">
        <f>ROUND(MOD(C24-B24,1)*1440,0)-D24</f>
        <v/>
      </c>
      <c r="F24" s="6" t="inlineStr">
        <is>
          <t>Documentación</t>
        </is>
      </c>
      <c r="G24" s="6" t="inlineStr">
        <is>
          <t>SCRUM-97</t>
        </is>
      </c>
      <c r="H24" s="6" t="inlineStr">
        <is>
          <t>Redacción, revisión y PR: Medición y reporte de la evidencia de prueba del 80 % del sistema</t>
        </is>
      </c>
    </row>
    <row r="25">
      <c r="A25" s="19" t="n">
        <v>46319</v>
      </c>
      <c r="B25" s="20" t="n">
        <v>0.6041666666666666</v>
      </c>
      <c r="C25" s="20" t="n">
        <v>0.75</v>
      </c>
      <c r="D25" s="6" t="n">
        <v>0</v>
      </c>
      <c r="E25" s="6">
        <f>ROUND(MOD(C25-B25,1)*1440,0)-D25</f>
        <v/>
      </c>
      <c r="F25" s="6" t="inlineStr">
        <is>
          <t>Documentación</t>
        </is>
      </c>
      <c r="G25" s="6" t="inlineStr">
        <is>
          <t>SCRUM-97</t>
        </is>
      </c>
      <c r="H25" s="6" t="inlineStr">
        <is>
          <t>Redacción, revisión y PR: Medición y reporte de la evidencia de prueba del 80 % del sistema (parte 2)</t>
        </is>
      </c>
    </row>
    <row r="26">
      <c r="A26" s="19" t="n">
        <v>46320</v>
      </c>
      <c r="B26" s="20" t="n">
        <v>0.375</v>
      </c>
      <c r="C26" s="20" t="n">
        <v>0.53125</v>
      </c>
      <c r="D26" s="6" t="n">
        <v>15</v>
      </c>
      <c r="E26" s="6">
        <f>ROUND(MOD(C26-B26,1)*1440,0)-D26</f>
        <v/>
      </c>
      <c r="F26" s="6" t="inlineStr">
        <is>
          <t>Documentación</t>
        </is>
      </c>
      <c r="G26" s="6" t="inlineStr">
        <is>
          <t>SCRUM-102</t>
        </is>
      </c>
      <c r="H26" s="6" t="inlineStr">
        <is>
          <t>Redacción, revisión y PR: Presupuesto y tiempo ejecutado al cierre del proyecto (parte 2)</t>
        </is>
      </c>
    </row>
    <row r="27">
      <c r="A27" s="19" t="n">
        <v>46320</v>
      </c>
      <c r="B27" s="20" t="n">
        <v>0.5520833333333334</v>
      </c>
      <c r="C27" s="20" t="n">
        <v>0.59375</v>
      </c>
      <c r="D27" s="6" t="n">
        <v>0</v>
      </c>
      <c r="E27" s="6">
        <f>ROUND(MOD(C27-B27,1)*1440,0)-D27</f>
        <v/>
      </c>
      <c r="F27" s="6" t="inlineStr">
        <is>
          <t>Planificación</t>
        </is>
      </c>
      <c r="G27" s="6" t="inlineStr">
        <is>
          <t>SCRUM-88</t>
        </is>
      </c>
      <c r="H27" s="6" t="inlineStr">
        <is>
          <t>Alcance, criterios de aceptación y plan de trabajo de L-6</t>
        </is>
      </c>
    </row>
    <row r="28">
      <c r="A28" s="19" t="n">
        <v>46320</v>
      </c>
      <c r="B28" s="20" t="n">
        <v>0.6145833333333334</v>
      </c>
      <c r="C28" s="20" t="n">
        <v>0.7395833333333334</v>
      </c>
      <c r="D28" s="6" t="n">
        <v>0</v>
      </c>
      <c r="E28" s="6">
        <f>ROUND(MOD(C28-B28,1)*1440,0)-D28</f>
        <v/>
      </c>
      <c r="F28" s="6" t="inlineStr">
        <is>
          <t>Código</t>
        </is>
      </c>
      <c r="G28" s="6" t="inlineStr">
        <is>
          <t>SCRUM-88</t>
        </is>
      </c>
      <c r="H28" s="6" t="inlineStr">
        <is>
          <t>Implementación: Implementación de los documentos legales en la aplicación</t>
        </is>
      </c>
    </row>
    <row r="29">
      <c r="A29" s="19" t="n">
        <v>46321</v>
      </c>
      <c r="B29" s="20" t="n">
        <v>0.7083333333333334</v>
      </c>
      <c r="C29" s="20" t="n">
        <v>0.84375</v>
      </c>
      <c r="D29" s="6" t="n">
        <v>15</v>
      </c>
      <c r="E29" s="6">
        <f>ROUND(MOD(C29-B29,1)*1440,0)-D29</f>
        <v/>
      </c>
      <c r="F29" s="6" t="inlineStr">
        <is>
          <t>Código</t>
        </is>
      </c>
      <c r="G29" s="6" t="inlineStr">
        <is>
          <t>SCRUM-88</t>
        </is>
      </c>
      <c r="H29" s="6" t="inlineStr">
        <is>
          <t>Implementación: Implementación de los documentos legales en la aplicación (parte 2)</t>
        </is>
      </c>
    </row>
    <row r="30">
      <c r="A30" s="19" t="n">
        <v>46321</v>
      </c>
      <c r="B30" s="20" t="n">
        <v>0.8645833333333334</v>
      </c>
      <c r="C30" s="20" t="n">
        <v>0.9895833333333334</v>
      </c>
      <c r="D30" s="6" t="n">
        <v>0</v>
      </c>
      <c r="E30" s="6">
        <f>ROUND(MOD(C30-B30,1)*1440,0)-D30</f>
        <v/>
      </c>
      <c r="F30" s="6" t="inlineStr">
        <is>
          <t>Código</t>
        </is>
      </c>
      <c r="G30" s="6" t="inlineStr">
        <is>
          <t>SCRUM-88</t>
        </is>
      </c>
      <c r="H30" s="6" t="inlineStr">
        <is>
          <t>Implementación: Implementación de los documentos legales en la aplicación (parte 3)</t>
        </is>
      </c>
    </row>
    <row r="31">
      <c r="A31" s="19" t="n">
        <v>46322</v>
      </c>
      <c r="B31" s="20" t="n">
        <v>0.7083333333333334</v>
      </c>
      <c r="C31" s="20" t="n">
        <v>0.75</v>
      </c>
      <c r="D31" s="6" t="n">
        <v>0</v>
      </c>
      <c r="E31" s="6">
        <f>ROUND(MOD(C31-B31,1)*1440,0)-D31</f>
        <v/>
      </c>
      <c r="F31" s="6" t="inlineStr">
        <is>
          <t>Planificación</t>
        </is>
      </c>
      <c r="G31" s="6" t="inlineStr">
        <is>
          <t>SCRUM-102</t>
        </is>
      </c>
      <c r="H31" s="6" t="inlineStr">
        <is>
          <t>Alcance, criterios de aceptación y plan de trabajo de BUD-1</t>
        </is>
      </c>
    </row>
    <row r="32">
      <c r="A32" s="19" t="n">
        <v>46322</v>
      </c>
      <c r="B32" s="20" t="n">
        <v>0.7708333333333334</v>
      </c>
      <c r="C32" s="20" t="n">
        <v>0.9270833333333334</v>
      </c>
      <c r="D32" s="6" t="n">
        <v>15</v>
      </c>
      <c r="E32" s="6">
        <f>ROUND(MOD(C32-B32,1)*1440,0)-D32</f>
        <v/>
      </c>
      <c r="F32" s="6" t="inlineStr">
        <is>
          <t>Documentación</t>
        </is>
      </c>
      <c r="G32" s="6" t="inlineStr">
        <is>
          <t>SCRUM-102</t>
        </is>
      </c>
      <c r="H32" s="6" t="inlineStr">
        <is>
          <t>Redacción, revisión y PR: Presupuesto y tiempo ejecutado al cierre del proyecto</t>
        </is>
      </c>
    </row>
    <row r="33">
      <c r="A33" s="19" t="n">
        <v>46322</v>
      </c>
      <c r="B33" s="20" t="n">
        <v>0.9479166666666666</v>
      </c>
      <c r="C33" s="20" t="n">
        <v>0.96875</v>
      </c>
      <c r="D33" s="6" t="n">
        <v>0</v>
      </c>
      <c r="E33" s="6">
        <f>ROUND(MOD(C33-B33,1)*1440,0)-D33</f>
        <v/>
      </c>
      <c r="F33" s="6" t="inlineStr">
        <is>
          <t>Documentación</t>
        </is>
      </c>
      <c r="G33" s="6" t="inlineStr">
        <is>
          <t>SCRUM-88</t>
        </is>
      </c>
      <c r="H33" s="6" t="inlineStr">
        <is>
          <t>Redacción, revisión y PR: Implementación de los documentos legales en la aplicación</t>
        </is>
      </c>
    </row>
    <row r="34">
      <c r="A34" s="10" t="inlineStr">
        <is>
          <t>Total</t>
        </is>
      </c>
      <c r="B34" s="10" t="n"/>
      <c r="C34" s="10" t="n"/>
      <c r="D34" s="10">
        <f>SUM(D9:D33)</f>
        <v/>
      </c>
      <c r="E34" s="10">
        <f>SUM(E9:E33)</f>
        <v/>
      </c>
      <c r="F34" s="10" t="n"/>
      <c r="G34" s="10" t="n"/>
      <c r="H34" s="10" t="n"/>
    </row>
    <row r="35">
      <c r="A35" s="10" t="inlineStr">
        <is>
          <t>Total en horas</t>
        </is>
      </c>
      <c r="B35" s="10" t="n"/>
      <c r="C35" s="10" t="n"/>
      <c r="D35" s="10" t="n"/>
      <c r="E35" s="16">
        <f>E34/60</f>
        <v/>
      </c>
      <c r="F35" s="10" t="n"/>
      <c r="G35" s="10" t="n"/>
      <c r="H35" s="10" t="n"/>
    </row>
    <row r="37">
      <c r="A37" t="inlineStr">
        <is>
          <t>Nota: registro reconstruido a partir de la estimación original de cada tarea en Jira y de las fechas de los commits del sprint. Cada integrante debe revisarlo y ajustarlo a su tiempo real.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2" customWidth="1" min="1" max="1"/>
    <col width="8" customWidth="1" min="2" max="2"/>
    <col width="8" customWidth="1" min="3" max="3"/>
    <col width="13" customWidth="1" min="4" max="4"/>
    <col width="13" customWidth="1" min="5" max="5"/>
    <col width="16" customWidth="1" min="6" max="6"/>
    <col width="12" customWidth="1" min="7" max="7"/>
    <col width="70" customWidth="1" min="8" max="8"/>
  </cols>
  <sheetData>
    <row r="1">
      <c r="A1" s="15" t="inlineStr">
        <is>
          <t>Registro de tiempo (LOGT) · Sprint 10</t>
        </is>
      </c>
    </row>
    <row r="3">
      <c r="A3" s="2" t="inlineStr">
        <is>
          <t>Integrante</t>
        </is>
      </c>
      <c r="B3" t="inlineStr">
        <is>
          <t>Juan Francisco Montenegro Aguirre</t>
        </is>
      </c>
    </row>
    <row r="4">
      <c r="A4" s="2" t="inlineStr">
        <is>
          <t>Carné</t>
        </is>
      </c>
    </row>
    <row r="5">
      <c r="A5" s="2" t="inlineStr">
        <is>
          <t>Sprint</t>
        </is>
      </c>
      <c r="B5" t="inlineStr">
        <is>
          <t>Sprint 10 (Jira: SCRUM Sprint 5), 14/10/2026 – 27/10/2026</t>
        </is>
      </c>
    </row>
    <row r="6">
      <c r="A6" s="2" t="inlineStr">
        <is>
          <t>Proyecto</t>
        </is>
      </c>
      <c r="B6" t="inlineStr">
        <is>
          <t>Kontrol</t>
        </is>
      </c>
    </row>
    <row r="8">
      <c r="A8" s="5" t="inlineStr">
        <is>
          <t>Fecha</t>
        </is>
      </c>
      <c r="B8" s="5" t="inlineStr">
        <is>
          <t>Inicio</t>
        </is>
      </c>
      <c r="C8" s="5" t="inlineStr">
        <is>
          <t>Fin</t>
        </is>
      </c>
      <c r="D8" s="5" t="inlineStr">
        <is>
          <t>Interrupción (min)</t>
        </is>
      </c>
      <c r="E8" s="5" t="inlineStr">
        <is>
          <t>Δ Tiempo (min)</t>
        </is>
      </c>
      <c r="F8" s="5" t="inlineStr">
        <is>
          <t>Fase / actividad</t>
        </is>
      </c>
      <c r="G8" s="5" t="inlineStr">
        <is>
          <t>Tarea Jira</t>
        </is>
      </c>
      <c r="H8" s="5" t="inlineStr">
        <is>
          <t>Comentarios</t>
        </is>
      </c>
    </row>
    <row r="9">
      <c r="A9" s="19" t="n">
        <v>46309</v>
      </c>
      <c r="B9" s="20" t="n">
        <v>0.7083333333333334</v>
      </c>
      <c r="C9" s="20" t="n">
        <v>0.75</v>
      </c>
      <c r="D9" s="6" t="n">
        <v>0</v>
      </c>
      <c r="E9" s="6">
        <f>ROUND(MOD(C9-B9,1)*1440,0)-D9</f>
        <v/>
      </c>
      <c r="F9" s="6" t="inlineStr">
        <is>
          <t>Planificación</t>
        </is>
      </c>
      <c r="G9" s="6" t="inlineStr">
        <is>
          <t>SCRUM-76</t>
        </is>
      </c>
      <c r="H9" s="6" t="inlineStr">
        <is>
          <t>Alcance, criterios de aceptación y plan de trabajo de L-0</t>
        </is>
      </c>
    </row>
    <row r="10">
      <c r="A10" s="19" t="n">
        <v>46309</v>
      </c>
      <c r="B10" s="20" t="n">
        <v>0.7708333333333334</v>
      </c>
      <c r="C10" s="20" t="n">
        <v>0.9166666666666666</v>
      </c>
      <c r="D10" s="6" t="n">
        <v>0</v>
      </c>
      <c r="E10" s="6">
        <f>ROUND(MOD(C10-B10,1)*1440,0)-D10</f>
        <v/>
      </c>
      <c r="F10" s="6" t="inlineStr">
        <is>
          <t>Documentación</t>
        </is>
      </c>
      <c r="G10" s="6" t="inlineStr">
        <is>
          <t>SCRUM-76</t>
        </is>
      </c>
      <c r="H10" s="6" t="inlineStr">
        <is>
          <t>Redacción, revisión y PR: Investigación del marco legal aplicable y estándar de cumplimiento adoptado</t>
        </is>
      </c>
    </row>
    <row r="11">
      <c r="A11" s="19" t="n">
        <v>46310</v>
      </c>
      <c r="B11" s="20" t="n">
        <v>0.7083333333333334</v>
      </c>
      <c r="C11" s="20" t="n">
        <v>0.8645833333333334</v>
      </c>
      <c r="D11" s="6" t="n">
        <v>15</v>
      </c>
      <c r="E11" s="6">
        <f>ROUND(MOD(C11-B11,1)*1440,0)-D11</f>
        <v/>
      </c>
      <c r="F11" s="6" t="inlineStr">
        <is>
          <t>Documentación</t>
        </is>
      </c>
      <c r="G11" s="6" t="inlineStr">
        <is>
          <t>SCRUM-76</t>
        </is>
      </c>
      <c r="H11" s="6" t="inlineStr">
        <is>
          <t>Redacción, revisión y PR: Investigación del marco legal aplicable y estándar de cumplimiento adoptado (parte 2)</t>
        </is>
      </c>
    </row>
    <row r="12">
      <c r="A12" s="19" t="n">
        <v>46311</v>
      </c>
      <c r="B12" s="20" t="n">
        <v>0.7083333333333334</v>
      </c>
      <c r="C12" s="20" t="n">
        <v>0.75</v>
      </c>
      <c r="D12" s="6" t="n">
        <v>0</v>
      </c>
      <c r="E12" s="6">
        <f>ROUND(MOD(C12-B12,1)*1440,0)-D12</f>
        <v/>
      </c>
      <c r="F12" s="6" t="inlineStr">
        <is>
          <t>Planificación</t>
        </is>
      </c>
      <c r="G12" s="6" t="inlineStr">
        <is>
          <t>SCRUM-83</t>
        </is>
      </c>
      <c r="H12" s="6" t="inlineStr">
        <is>
          <t>Alcance, criterios de aceptación y plan de trabajo de L-1</t>
        </is>
      </c>
    </row>
    <row r="13">
      <c r="A13" s="19" t="n">
        <v>46311</v>
      </c>
      <c r="B13" s="20" t="n">
        <v>0.7708333333333334</v>
      </c>
      <c r="C13" s="20" t="n">
        <v>0.8958333333333334</v>
      </c>
      <c r="D13" s="6" t="n">
        <v>0</v>
      </c>
      <c r="E13" s="6">
        <f>ROUND(MOD(C13-B13,1)*1440,0)-D13</f>
        <v/>
      </c>
      <c r="F13" s="6" t="inlineStr">
        <is>
          <t>Documentación</t>
        </is>
      </c>
      <c r="G13" s="6" t="inlineStr">
        <is>
          <t>SCRUM-83</t>
        </is>
      </c>
      <c r="H13" s="6" t="inlineStr">
        <is>
          <t>Redacción, revisión y PR: Términos y Condiciones de Uso</t>
        </is>
      </c>
    </row>
    <row r="14">
      <c r="A14" s="19" t="n">
        <v>46311</v>
      </c>
      <c r="B14" s="20" t="n">
        <v>0.9166666666666666</v>
      </c>
      <c r="C14" s="20" t="n">
        <v>0.9583333333333334</v>
      </c>
      <c r="D14" s="6" t="n">
        <v>0</v>
      </c>
      <c r="E14" s="6">
        <f>ROUND(MOD(C14-B14,1)*1440,0)-D14</f>
        <v/>
      </c>
      <c r="F14" s="6" t="inlineStr">
        <is>
          <t>Planificación</t>
        </is>
      </c>
      <c r="G14" s="6" t="inlineStr">
        <is>
          <t>SCRUM-84</t>
        </is>
      </c>
      <c r="H14" s="6" t="inlineStr">
        <is>
          <t>Alcance, criterios de aceptación y plan de trabajo de L-2</t>
        </is>
      </c>
    </row>
    <row r="15">
      <c r="A15" s="19" t="n">
        <v>46312</v>
      </c>
      <c r="B15" s="20" t="n">
        <v>0.375</v>
      </c>
      <c r="C15" s="20" t="n">
        <v>0.4166666666666667</v>
      </c>
      <c r="D15" s="6" t="n">
        <v>0</v>
      </c>
      <c r="E15" s="6">
        <f>ROUND(MOD(C15-B15,1)*1440,0)-D15</f>
        <v/>
      </c>
      <c r="F15" s="6" t="inlineStr">
        <is>
          <t>Planificación</t>
        </is>
      </c>
      <c r="G15" s="6" t="inlineStr">
        <is>
          <t>SCRUM-80</t>
        </is>
      </c>
      <c r="H15" s="6" t="inlineStr">
        <is>
          <t>Alcance, criterios de aceptación y plan de trabajo de L-8</t>
        </is>
      </c>
    </row>
    <row r="16">
      <c r="A16" s="19" t="n">
        <v>46312</v>
      </c>
      <c r="B16" s="20" t="n">
        <v>0.4375</v>
      </c>
      <c r="C16" s="20" t="n">
        <v>0.5625</v>
      </c>
      <c r="D16" s="6" t="n">
        <v>0</v>
      </c>
      <c r="E16" s="6">
        <f>ROUND(MOD(C16-B16,1)*1440,0)-D16</f>
        <v/>
      </c>
      <c r="F16" s="6" t="inlineStr">
        <is>
          <t>Documentación</t>
        </is>
      </c>
      <c r="G16" s="6" t="inlineStr">
        <is>
          <t>SCRUM-83</t>
        </is>
      </c>
      <c r="H16" s="6" t="inlineStr">
        <is>
          <t>Redacción, revisión y PR: Términos y Condiciones de Uso (parte 2)</t>
        </is>
      </c>
    </row>
    <row r="17">
      <c r="A17" s="19" t="n">
        <v>46312</v>
      </c>
      <c r="B17" s="20" t="n">
        <v>0.5833333333333334</v>
      </c>
      <c r="C17" s="20" t="n">
        <v>0.71875</v>
      </c>
      <c r="D17" s="6" t="n">
        <v>15</v>
      </c>
      <c r="E17" s="6">
        <f>ROUND(MOD(C17-B17,1)*1440,0)-D17</f>
        <v/>
      </c>
      <c r="F17" s="6" t="inlineStr">
        <is>
          <t>Documentación</t>
        </is>
      </c>
      <c r="G17" s="6" t="inlineStr">
        <is>
          <t>SCRUM-84</t>
        </is>
      </c>
      <c r="H17" s="6" t="inlineStr">
        <is>
          <t>Redacción, revisión y PR: Política de Privacidad e inventario de datos personales del sistema</t>
        </is>
      </c>
    </row>
    <row r="18">
      <c r="A18" s="19" t="n">
        <v>46313</v>
      </c>
      <c r="B18" s="20" t="n">
        <v>0.375</v>
      </c>
      <c r="C18" s="20" t="n">
        <v>0.5208333333333334</v>
      </c>
      <c r="D18" s="6" t="n">
        <v>0</v>
      </c>
      <c r="E18" s="6">
        <f>ROUND(MOD(C18-B18,1)*1440,0)-D18</f>
        <v/>
      </c>
      <c r="F18" s="6" t="inlineStr">
        <is>
          <t>Documentación</t>
        </is>
      </c>
      <c r="G18" s="6" t="inlineStr">
        <is>
          <t>SCRUM-80</t>
        </is>
      </c>
      <c r="H18" s="6" t="inlineStr">
        <is>
          <t>Redacción, revisión y PR: Licencia del repositorio y auditoría de licencias de terceros</t>
        </is>
      </c>
    </row>
    <row r="19">
      <c r="A19" s="19" t="n">
        <v>46313</v>
      </c>
      <c r="B19" s="20" t="n">
        <v>0.5416666666666666</v>
      </c>
      <c r="C19" s="20" t="n">
        <v>0.6666666666666666</v>
      </c>
      <c r="D19" s="6" t="n">
        <v>0</v>
      </c>
      <c r="E19" s="6">
        <f>ROUND(MOD(C19-B19,1)*1440,0)-D19</f>
        <v/>
      </c>
      <c r="F19" s="6" t="inlineStr">
        <is>
          <t>Documentación</t>
        </is>
      </c>
      <c r="G19" s="6" t="inlineStr">
        <is>
          <t>SCRUM-83</t>
        </is>
      </c>
      <c r="H19" s="6" t="inlineStr">
        <is>
          <t>Redacción, revisión y PR: Términos y Condiciones de Uso (parte 3)</t>
        </is>
      </c>
    </row>
    <row r="20">
      <c r="A20" s="19" t="n">
        <v>46314</v>
      </c>
      <c r="B20" s="20" t="n">
        <v>0.7083333333333334</v>
      </c>
      <c r="C20" s="20" t="n">
        <v>0.84375</v>
      </c>
      <c r="D20" s="6" t="n">
        <v>15</v>
      </c>
      <c r="E20" s="6">
        <f>ROUND(MOD(C20-B20,1)*1440,0)-D20</f>
        <v/>
      </c>
      <c r="F20" s="6" t="inlineStr">
        <is>
          <t>Documentación</t>
        </is>
      </c>
      <c r="G20" s="6" t="inlineStr">
        <is>
          <t>SCRUM-83</t>
        </is>
      </c>
      <c r="H20" s="6" t="inlineStr">
        <is>
          <t>Redacción, revisión y PR: Términos y Condiciones de Uso (parte 4)</t>
        </is>
      </c>
    </row>
    <row r="21">
      <c r="A21" s="19" t="n">
        <v>46314</v>
      </c>
      <c r="B21" s="20" t="n">
        <v>0.8645833333333334</v>
      </c>
      <c r="C21" s="20" t="n">
        <v>0.9895833333333334</v>
      </c>
      <c r="D21" s="6" t="n">
        <v>0</v>
      </c>
      <c r="E21" s="6">
        <f>ROUND(MOD(C21-B21,1)*1440,0)-D21</f>
        <v/>
      </c>
      <c r="F21" s="6" t="inlineStr">
        <is>
          <t>Documentación</t>
        </is>
      </c>
      <c r="G21" s="6" t="inlineStr">
        <is>
          <t>SCRUM-83</t>
        </is>
      </c>
      <c r="H21" s="6" t="inlineStr">
        <is>
          <t>Redacción, revisión y PR: Términos y Condiciones de Uso (parte 5)</t>
        </is>
      </c>
    </row>
    <row r="22">
      <c r="A22" s="19" t="n">
        <v>46315</v>
      </c>
      <c r="B22" s="20" t="n">
        <v>0.7083333333333334</v>
      </c>
      <c r="C22" s="20" t="n">
        <v>0.8333333333333334</v>
      </c>
      <c r="D22" s="6" t="n">
        <v>0</v>
      </c>
      <c r="E22" s="6">
        <f>ROUND(MOD(C22-B22,1)*1440,0)-D22</f>
        <v/>
      </c>
      <c r="F22" s="6" t="inlineStr">
        <is>
          <t>Documentación</t>
        </is>
      </c>
      <c r="G22" s="6" t="inlineStr">
        <is>
          <t>SCRUM-84</t>
        </is>
      </c>
      <c r="H22" s="6" t="inlineStr">
        <is>
          <t>Redacción, revisión y PR: Política de Privacidad e inventario de datos personales del sistema (parte 2)</t>
        </is>
      </c>
    </row>
    <row r="23">
      <c r="A23" s="19" t="n">
        <v>46315</v>
      </c>
      <c r="B23" s="20" t="n">
        <v>0.8541666666666666</v>
      </c>
      <c r="C23" s="20" t="n">
        <v>0.9895833333333334</v>
      </c>
      <c r="D23" s="6" t="n">
        <v>15</v>
      </c>
      <c r="E23" s="6">
        <f>ROUND(MOD(C23-B23,1)*1440,0)-D23</f>
        <v/>
      </c>
      <c r="F23" s="6" t="inlineStr">
        <is>
          <t>Documentación</t>
        </is>
      </c>
      <c r="G23" s="6" t="inlineStr">
        <is>
          <t>SCRUM-84</t>
        </is>
      </c>
      <c r="H23" s="6" t="inlineStr">
        <is>
          <t>Redacción, revisión y PR: Política de Privacidad e inventario de datos personales del sistema (parte 3)</t>
        </is>
      </c>
    </row>
    <row r="24">
      <c r="A24" s="19" t="n">
        <v>46316</v>
      </c>
      <c r="B24" s="20" t="n">
        <v>0.7083333333333334</v>
      </c>
      <c r="C24" s="20" t="n">
        <v>0.8541666666666666</v>
      </c>
      <c r="D24" s="6" t="n">
        <v>0</v>
      </c>
      <c r="E24" s="6">
        <f>ROUND(MOD(C24-B24,1)*1440,0)-D24</f>
        <v/>
      </c>
      <c r="F24" s="6" t="inlineStr">
        <is>
          <t>Documentación</t>
        </is>
      </c>
      <c r="G24" s="6" t="inlineStr">
        <is>
          <t>SCRUM-80</t>
        </is>
      </c>
      <c r="H24" s="6" t="inlineStr">
        <is>
          <t>Redacción, revisión y PR: Licencia del repositorio y auditoría de licencias de terceros (parte 2)</t>
        </is>
      </c>
    </row>
    <row r="25">
      <c r="A25" s="19" t="n">
        <v>46317</v>
      </c>
      <c r="B25" s="20" t="n">
        <v>0.7083333333333334</v>
      </c>
      <c r="C25" s="20" t="n">
        <v>0.8333333333333334</v>
      </c>
      <c r="D25" s="6" t="n">
        <v>0</v>
      </c>
      <c r="E25" s="6">
        <f>ROUND(MOD(C25-B25,1)*1440,0)-D25</f>
        <v/>
      </c>
      <c r="F25" s="6" t="inlineStr">
        <is>
          <t>Documentación</t>
        </is>
      </c>
      <c r="G25" s="6" t="inlineStr">
        <is>
          <t>SCRUM-84</t>
        </is>
      </c>
      <c r="H25" s="6" t="inlineStr">
        <is>
          <t>Redacción, revisión y PR: Política de Privacidad e inventario de datos personales del sistema (parte 4)</t>
        </is>
      </c>
    </row>
    <row r="26">
      <c r="A26" s="19" t="n">
        <v>46317</v>
      </c>
      <c r="B26" s="20" t="n">
        <v>0.8541666666666666</v>
      </c>
      <c r="C26" s="20" t="n">
        <v>0.8958333333333334</v>
      </c>
      <c r="D26" s="6" t="n">
        <v>0</v>
      </c>
      <c r="E26" s="6">
        <f>ROUND(MOD(C26-B26,1)*1440,0)-D26</f>
        <v/>
      </c>
      <c r="F26" s="6" t="inlineStr">
        <is>
          <t>Planificación</t>
        </is>
      </c>
      <c r="G26" s="6" t="inlineStr">
        <is>
          <t>SCRUM-96</t>
        </is>
      </c>
      <c r="H26" s="6" t="inlineStr">
        <is>
          <t>Alcance, criterios de aceptación y plan de trabajo de RTF-1</t>
        </is>
      </c>
    </row>
    <row r="27">
      <c r="A27" s="19" t="n">
        <v>46318</v>
      </c>
      <c r="B27" s="20" t="n">
        <v>0.7083333333333334</v>
      </c>
      <c r="C27" s="20" t="n">
        <v>0.8541666666666666</v>
      </c>
      <c r="D27" s="6" t="n">
        <v>0</v>
      </c>
      <c r="E27" s="6">
        <f>ROUND(MOD(C27-B27,1)*1440,0)-D27</f>
        <v/>
      </c>
      <c r="F27" s="6" t="inlineStr">
        <is>
          <t>Documentación</t>
        </is>
      </c>
      <c r="G27" s="6" t="inlineStr">
        <is>
          <t>SCRUM-96</t>
        </is>
      </c>
      <c r="H27" s="6" t="inlineStr">
        <is>
          <t>Redacción, revisión y PR: Revisión Técnica Formal 2: hallazgos y plan de resolución</t>
        </is>
      </c>
    </row>
    <row r="28">
      <c r="A28" s="19" t="n">
        <v>46319</v>
      </c>
      <c r="B28" s="20" t="n">
        <v>0.375</v>
      </c>
      <c r="C28" s="20" t="n">
        <v>0.5</v>
      </c>
      <c r="D28" s="6" t="n">
        <v>0</v>
      </c>
      <c r="E28" s="6">
        <f>ROUND(MOD(C28-B28,1)*1440,0)-D28</f>
        <v/>
      </c>
      <c r="F28" s="6" t="inlineStr">
        <is>
          <t>Código</t>
        </is>
      </c>
      <c r="G28" s="6" t="inlineStr">
        <is>
          <t>SCRUM-103</t>
        </is>
      </c>
      <c r="H28" s="6" t="inlineStr">
        <is>
          <t>Implementación: Correcciones de interfaz: responsive del fondo, escala tipográfica y tamaño de fuente configurable (parte 3)</t>
        </is>
      </c>
    </row>
    <row r="29">
      <c r="A29" s="19" t="n">
        <v>46319</v>
      </c>
      <c r="B29" s="20" t="n">
        <v>0.5208333333333334</v>
      </c>
      <c r="C29" s="20" t="n">
        <v>0.6770833333333334</v>
      </c>
      <c r="D29" s="6" t="n">
        <v>15</v>
      </c>
      <c r="E29" s="6">
        <f>ROUND(MOD(C29-B29,1)*1440,0)-D29</f>
        <v/>
      </c>
      <c r="F29" s="6" t="inlineStr">
        <is>
          <t>Documentación</t>
        </is>
      </c>
      <c r="G29" s="6" t="inlineStr">
        <is>
          <t>SCRUM-96</t>
        </is>
      </c>
      <c r="H29" s="6" t="inlineStr">
        <is>
          <t>Redacción, revisión y PR: Revisión Técnica Formal 2: hallazgos y plan de resolución (parte 2)</t>
        </is>
      </c>
    </row>
    <row r="30">
      <c r="A30" s="19" t="n">
        <v>46320</v>
      </c>
      <c r="B30" s="20" t="n">
        <v>0.375</v>
      </c>
      <c r="C30" s="20" t="n">
        <v>0.5</v>
      </c>
      <c r="D30" s="6" t="n">
        <v>0</v>
      </c>
      <c r="E30" s="6">
        <f>ROUND(MOD(C30-B30,1)*1440,0)-D30</f>
        <v/>
      </c>
      <c r="F30" s="6" t="inlineStr">
        <is>
          <t>Código</t>
        </is>
      </c>
      <c r="G30" s="6" t="inlineStr">
        <is>
          <t>SCRUM-103</t>
        </is>
      </c>
      <c r="H30" s="6" t="inlineStr">
        <is>
          <t>Implementación: Correcciones de interfaz: responsive del fondo, escala tipográfica y tamaño de fuente configurable (parte 2)</t>
        </is>
      </c>
    </row>
    <row r="31">
      <c r="A31" s="19" t="n">
        <v>46320</v>
      </c>
      <c r="B31" s="20" t="n">
        <v>0.5208333333333334</v>
      </c>
      <c r="C31" s="20" t="n">
        <v>0.5625</v>
      </c>
      <c r="D31" s="6" t="n">
        <v>0</v>
      </c>
      <c r="E31" s="6">
        <f>ROUND(MOD(C31-B31,1)*1440,0)-D31</f>
        <v/>
      </c>
      <c r="F31" s="6" t="inlineStr">
        <is>
          <t>Planificación</t>
        </is>
      </c>
      <c r="G31" s="6" t="inlineStr">
        <is>
          <t>SCRUM-85</t>
        </is>
      </c>
      <c r="H31" s="6" t="inlineStr">
        <is>
          <t>Alcance, criterios de aceptación y plan de trabajo de L-4</t>
        </is>
      </c>
    </row>
    <row r="32">
      <c r="A32" s="19" t="n">
        <v>46320</v>
      </c>
      <c r="B32" s="20" t="n">
        <v>0.5833333333333334</v>
      </c>
      <c r="C32" s="20" t="n">
        <v>0.7395833333333334</v>
      </c>
      <c r="D32" s="6" t="n">
        <v>15</v>
      </c>
      <c r="E32" s="6">
        <f>ROUND(MOD(C32-B32,1)*1440,0)-D32</f>
        <v/>
      </c>
      <c r="F32" s="6" t="inlineStr">
        <is>
          <t>Documentación</t>
        </is>
      </c>
      <c r="G32" s="6" t="inlineStr">
        <is>
          <t>SCRUM-85</t>
        </is>
      </c>
      <c r="H32" s="6" t="inlineStr">
        <is>
          <t>Redacción, revisión y PR: Adenda de tratamiento de datos para los clientes de Kontrol</t>
        </is>
      </c>
    </row>
    <row r="33">
      <c r="A33" s="19" t="n">
        <v>46321</v>
      </c>
      <c r="B33" s="20" t="n">
        <v>0.7083333333333334</v>
      </c>
      <c r="C33" s="20" t="n">
        <v>0.75</v>
      </c>
      <c r="D33" s="6" t="n">
        <v>0</v>
      </c>
      <c r="E33" s="6">
        <f>ROUND(MOD(C33-B33,1)*1440,0)-D33</f>
        <v/>
      </c>
      <c r="F33" s="6" t="inlineStr">
        <is>
          <t>Planificación</t>
        </is>
      </c>
      <c r="G33" s="6" t="inlineStr">
        <is>
          <t>SCRUM-103</t>
        </is>
      </c>
      <c r="H33" s="6" t="inlineStr">
        <is>
          <t>Alcance, criterios de aceptación y plan de trabajo de UI-1</t>
        </is>
      </c>
    </row>
    <row r="34">
      <c r="A34" s="19" t="n">
        <v>46321</v>
      </c>
      <c r="B34" s="20" t="n">
        <v>0.7708333333333334</v>
      </c>
      <c r="C34" s="20" t="n">
        <v>0.8958333333333334</v>
      </c>
      <c r="D34" s="6" t="n">
        <v>0</v>
      </c>
      <c r="E34" s="6">
        <f>ROUND(MOD(C34-B34,1)*1440,0)-D34</f>
        <v/>
      </c>
      <c r="F34" s="6" t="inlineStr">
        <is>
          <t>Código</t>
        </is>
      </c>
      <c r="G34" s="6" t="inlineStr">
        <is>
          <t>SCRUM-103</t>
        </is>
      </c>
      <c r="H34" s="6" t="inlineStr">
        <is>
          <t>Implementación: Correcciones de interfaz: responsive del fondo, escala tipográfica y tamaño de fuente configurable</t>
        </is>
      </c>
    </row>
    <row r="35">
      <c r="A35" s="19" t="n">
        <v>46321</v>
      </c>
      <c r="B35" s="20" t="n">
        <v>0.9166666666666666</v>
      </c>
      <c r="C35" s="20" t="n">
        <v>0.9375</v>
      </c>
      <c r="D35" s="6" t="n">
        <v>0</v>
      </c>
      <c r="E35" s="6">
        <f>ROUND(MOD(C35-B35,1)*1440,0)-D35</f>
        <v/>
      </c>
      <c r="F35" s="6" t="inlineStr">
        <is>
          <t>Documentación</t>
        </is>
      </c>
      <c r="G35" s="6" t="inlineStr">
        <is>
          <t>SCRUM-103</t>
        </is>
      </c>
      <c r="H35" s="6" t="inlineStr">
        <is>
          <t>Redacción, revisión y PR: Correcciones de interfaz: responsive del fondo, escala tipográfica y tamaño de fuente configurable</t>
        </is>
      </c>
    </row>
    <row r="36">
      <c r="A36" s="19" t="n">
        <v>46322</v>
      </c>
      <c r="B36" s="20" t="n">
        <v>0.7083333333333334</v>
      </c>
      <c r="C36" s="20" t="n">
        <v>0.8125</v>
      </c>
      <c r="D36" s="6" t="n">
        <v>0</v>
      </c>
      <c r="E36" s="6">
        <f>ROUND(MOD(C36-B36,1)*1440,0)-D36</f>
        <v/>
      </c>
      <c r="F36" s="6" t="inlineStr">
        <is>
          <t>Pruebas</t>
        </is>
      </c>
      <c r="G36" s="6" t="inlineStr">
        <is>
          <t>SCRUM-103</t>
        </is>
      </c>
      <c r="H36" s="6" t="inlineStr">
        <is>
          <t>Pruebas y verificación: Correcciones de interfaz: responsive del fondo, escala tipográfica y tamaño de fuente configurable</t>
        </is>
      </c>
    </row>
    <row r="37">
      <c r="A37" s="19" t="n">
        <v>46322</v>
      </c>
      <c r="B37" s="20" t="n">
        <v>0.8333333333333334</v>
      </c>
      <c r="C37" s="20" t="n">
        <v>0.9791666666666666</v>
      </c>
      <c r="D37" s="6" t="n">
        <v>0</v>
      </c>
      <c r="E37" s="6">
        <f>ROUND(MOD(C37-B37,1)*1440,0)-D37</f>
        <v/>
      </c>
      <c r="F37" s="6" t="inlineStr">
        <is>
          <t>Documentación</t>
        </is>
      </c>
      <c r="G37" s="6" t="inlineStr">
        <is>
          <t>SCRUM-85</t>
        </is>
      </c>
      <c r="H37" s="6" t="inlineStr">
        <is>
          <t>Redacción, revisión y PR: Adenda de tratamiento de datos para los clientes de Kontrol (parte 2)</t>
        </is>
      </c>
    </row>
    <row r="38">
      <c r="A38" s="10" t="inlineStr">
        <is>
          <t>Total</t>
        </is>
      </c>
      <c r="B38" s="10" t="n"/>
      <c r="C38" s="10" t="n"/>
      <c r="D38" s="10">
        <f>SUM(D9:D37)</f>
        <v/>
      </c>
      <c r="E38" s="10">
        <f>SUM(E9:E37)</f>
        <v/>
      </c>
      <c r="F38" s="10" t="n"/>
      <c r="G38" s="10" t="n"/>
      <c r="H38" s="10" t="n"/>
    </row>
    <row r="39">
      <c r="A39" s="10" t="inlineStr">
        <is>
          <t>Total en horas</t>
        </is>
      </c>
      <c r="B39" s="10" t="n"/>
      <c r="C39" s="10" t="n"/>
      <c r="D39" s="10" t="n"/>
      <c r="E39" s="16">
        <f>E38/60</f>
        <v/>
      </c>
      <c r="F39" s="10" t="n"/>
      <c r="G39" s="10" t="n"/>
      <c r="H39" s="10" t="n"/>
    </row>
    <row r="41">
      <c r="A41" t="inlineStr">
        <is>
          <t>Nota: registro reconstruido a partir de la estimación original de cada tarea en Jira y de las fechas de los commits del sprint. Cada integrante debe revisarlo y ajustarlo a su tiempo real.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12" customWidth="1" min="1" max="1"/>
    <col width="8" customWidth="1" min="2" max="2"/>
    <col width="8" customWidth="1" min="3" max="3"/>
    <col width="13" customWidth="1" min="4" max="4"/>
    <col width="13" customWidth="1" min="5" max="5"/>
    <col width="16" customWidth="1" min="6" max="6"/>
    <col width="12" customWidth="1" min="7" max="7"/>
    <col width="70" customWidth="1" min="8" max="8"/>
  </cols>
  <sheetData>
    <row r="1">
      <c r="A1" s="15" t="inlineStr">
        <is>
          <t>Registro de tiempo (LOGT) · Sprint 10</t>
        </is>
      </c>
    </row>
    <row r="3">
      <c r="A3" s="2" t="inlineStr">
        <is>
          <t>Integrante</t>
        </is>
      </c>
      <c r="B3" t="inlineStr">
        <is>
          <t>Alejandra Sarai Avilés González</t>
        </is>
      </c>
    </row>
    <row r="4">
      <c r="A4" s="2" t="inlineStr">
        <is>
          <t>Carné</t>
        </is>
      </c>
    </row>
    <row r="5">
      <c r="A5" s="2" t="inlineStr">
        <is>
          <t>Sprint</t>
        </is>
      </c>
      <c r="B5" t="inlineStr">
        <is>
          <t>Sprint 10 (Jira: SCRUM Sprint 5), 14/10/2026 – 27/10/2026</t>
        </is>
      </c>
    </row>
    <row r="6">
      <c r="A6" s="2" t="inlineStr">
        <is>
          <t>Proyecto</t>
        </is>
      </c>
      <c r="B6" t="inlineStr">
        <is>
          <t>Kontrol</t>
        </is>
      </c>
    </row>
    <row r="8">
      <c r="A8" s="5" t="inlineStr">
        <is>
          <t>Fecha</t>
        </is>
      </c>
      <c r="B8" s="5" t="inlineStr">
        <is>
          <t>Inicio</t>
        </is>
      </c>
      <c r="C8" s="5" t="inlineStr">
        <is>
          <t>Fin</t>
        </is>
      </c>
      <c r="D8" s="5" t="inlineStr">
        <is>
          <t>Interrupción (min)</t>
        </is>
      </c>
      <c r="E8" s="5" t="inlineStr">
        <is>
          <t>Δ Tiempo (min)</t>
        </is>
      </c>
      <c r="F8" s="5" t="inlineStr">
        <is>
          <t>Fase / actividad</t>
        </is>
      </c>
      <c r="G8" s="5" t="inlineStr">
        <is>
          <t>Tarea Jira</t>
        </is>
      </c>
      <c r="H8" s="5" t="inlineStr">
        <is>
          <t>Comentarios</t>
        </is>
      </c>
    </row>
    <row r="9">
      <c r="A9" s="19" t="n">
        <v>46310</v>
      </c>
      <c r="B9" s="20" t="n">
        <v>0.7083333333333334</v>
      </c>
      <c r="C9" s="20" t="n">
        <v>0.75</v>
      </c>
      <c r="D9" s="6" t="n">
        <v>0</v>
      </c>
      <c r="E9" s="6">
        <f>ROUND(MOD(C9-B9,1)*1440,0)-D9</f>
        <v/>
      </c>
      <c r="F9" s="6" t="inlineStr">
        <is>
          <t>Planificación</t>
        </is>
      </c>
      <c r="G9" s="6" t="inlineStr">
        <is>
          <t>SCRUM-75</t>
        </is>
      </c>
      <c r="H9" s="6" t="inlineStr">
        <is>
          <t>Alcance, criterios de aceptación y plan de trabajo de DT-07</t>
        </is>
      </c>
    </row>
    <row r="10">
      <c r="A10" s="19" t="n">
        <v>46310</v>
      </c>
      <c r="B10" s="20" t="n">
        <v>0.7708333333333334</v>
      </c>
      <c r="C10" s="20" t="n">
        <v>0.8958333333333334</v>
      </c>
      <c r="D10" s="6" t="n">
        <v>0</v>
      </c>
      <c r="E10" s="6">
        <f>ROUND(MOD(C10-B10,1)*1440,0)-D10</f>
        <v/>
      </c>
      <c r="F10" s="6" t="inlineStr">
        <is>
          <t>Código</t>
        </is>
      </c>
      <c r="G10" s="6" t="inlineStr">
        <is>
          <t>SCRUM-75</t>
        </is>
      </c>
      <c r="H10" s="6" t="inlineStr">
        <is>
          <t>Implementación: Capa de acceso a API unificada en el frontend</t>
        </is>
      </c>
    </row>
    <row r="11">
      <c r="A11" s="19" t="n">
        <v>46311</v>
      </c>
      <c r="B11" s="20" t="n">
        <v>0.7083333333333334</v>
      </c>
      <c r="C11" s="20" t="n">
        <v>0.84375</v>
      </c>
      <c r="D11" s="6" t="n">
        <v>15</v>
      </c>
      <c r="E11" s="6">
        <f>ROUND(MOD(C11-B11,1)*1440,0)-D11</f>
        <v/>
      </c>
      <c r="F11" s="6" t="inlineStr">
        <is>
          <t>Código</t>
        </is>
      </c>
      <c r="G11" s="6" t="inlineStr">
        <is>
          <t>SCRUM-75</t>
        </is>
      </c>
      <c r="H11" s="6" t="inlineStr">
        <is>
          <t>Implementación: Capa de acceso a API unificada en el frontend (parte 2)</t>
        </is>
      </c>
    </row>
    <row r="12">
      <c r="A12" s="19" t="n">
        <v>46311</v>
      </c>
      <c r="B12" s="20" t="n">
        <v>0.8645833333333334</v>
      </c>
      <c r="C12" s="20" t="n">
        <v>0.9895833333333334</v>
      </c>
      <c r="D12" s="6" t="n">
        <v>0</v>
      </c>
      <c r="E12" s="6">
        <f>ROUND(MOD(C12-B12,1)*1440,0)-D12</f>
        <v/>
      </c>
      <c r="F12" s="6" t="inlineStr">
        <is>
          <t>Código</t>
        </is>
      </c>
      <c r="G12" s="6" t="inlineStr">
        <is>
          <t>SCRUM-75</t>
        </is>
      </c>
      <c r="H12" s="6" t="inlineStr">
        <is>
          <t>Implementación: Capa de acceso a API unificada en el frontend (parte 3)</t>
        </is>
      </c>
    </row>
    <row r="13">
      <c r="A13" s="19" t="n">
        <v>46312</v>
      </c>
      <c r="B13" s="20" t="n">
        <v>0.375</v>
      </c>
      <c r="C13" s="20" t="n">
        <v>0.4791666666666667</v>
      </c>
      <c r="D13" s="6" t="n">
        <v>0</v>
      </c>
      <c r="E13" s="6">
        <f>ROUND(MOD(C13-B13,1)*1440,0)-D13</f>
        <v/>
      </c>
      <c r="F13" s="6" t="inlineStr">
        <is>
          <t>Pruebas</t>
        </is>
      </c>
      <c r="G13" s="6" t="inlineStr">
        <is>
          <t>SCRUM-75</t>
        </is>
      </c>
      <c r="H13" s="6" t="inlineStr">
        <is>
          <t>Pruebas y verificación: Capa de acceso a API unificada en el frontend</t>
        </is>
      </c>
    </row>
    <row r="14">
      <c r="A14" s="19" t="n">
        <v>46312</v>
      </c>
      <c r="B14" s="20" t="n">
        <v>0.5</v>
      </c>
      <c r="C14" s="20" t="n">
        <v>0.5208333333333334</v>
      </c>
      <c r="D14" s="6" t="n">
        <v>0</v>
      </c>
      <c r="E14" s="6">
        <f>ROUND(MOD(C14-B14,1)*1440,0)-D14</f>
        <v/>
      </c>
      <c r="F14" s="6" t="inlineStr">
        <is>
          <t>Documentación</t>
        </is>
      </c>
      <c r="G14" s="6" t="inlineStr">
        <is>
          <t>SCRUM-75</t>
        </is>
      </c>
      <c r="H14" s="6" t="inlineStr">
        <is>
          <t>Redacción, revisión y PR: Capa de acceso a API unificada en el frontend</t>
        </is>
      </c>
    </row>
    <row r="15">
      <c r="A15" s="19" t="n">
        <v>46314</v>
      </c>
      <c r="B15" s="20" t="n">
        <v>0.7083333333333334</v>
      </c>
      <c r="C15" s="20" t="n">
        <v>0.8125</v>
      </c>
      <c r="D15" s="6" t="n">
        <v>0</v>
      </c>
      <c r="E15" s="6">
        <f>ROUND(MOD(C15-B15,1)*1440,0)-D15</f>
        <v/>
      </c>
      <c r="F15" s="6" t="inlineStr">
        <is>
          <t>Código</t>
        </is>
      </c>
      <c r="G15" s="6" t="inlineStr">
        <is>
          <t>SCRUM-66</t>
        </is>
      </c>
      <c r="H15" s="6" t="inlineStr">
        <is>
          <t>Implementación: Aislar las vistas temporales del agente dentro de la transacción</t>
        </is>
      </c>
    </row>
    <row r="16">
      <c r="A16" s="19" t="n">
        <v>46314</v>
      </c>
      <c r="B16" s="20" t="n">
        <v>0.8333333333333334</v>
      </c>
      <c r="C16" s="20" t="n">
        <v>0.9166666666666666</v>
      </c>
      <c r="D16" s="6" t="n">
        <v>0</v>
      </c>
      <c r="E16" s="6">
        <f>ROUND(MOD(C16-B16,1)*1440,0)-D16</f>
        <v/>
      </c>
      <c r="F16" s="6" t="inlineStr">
        <is>
          <t>Pruebas</t>
        </is>
      </c>
      <c r="G16" s="6" t="inlineStr">
        <is>
          <t>SCRUM-66</t>
        </is>
      </c>
      <c r="H16" s="6" t="inlineStr">
        <is>
          <t>Pruebas y verificación: Aislar las vistas temporales del agente dentro de la transacción</t>
        </is>
      </c>
    </row>
    <row r="17">
      <c r="A17" s="19" t="n">
        <v>46314</v>
      </c>
      <c r="B17" s="20" t="n">
        <v>0.9375</v>
      </c>
      <c r="C17" s="20" t="n">
        <v>0.9583333333333334</v>
      </c>
      <c r="D17" s="6" t="n">
        <v>0</v>
      </c>
      <c r="E17" s="6">
        <f>ROUND(MOD(C17-B17,1)*1440,0)-D17</f>
        <v/>
      </c>
      <c r="F17" s="6" t="inlineStr">
        <is>
          <t>Documentación</t>
        </is>
      </c>
      <c r="G17" s="6" t="inlineStr">
        <is>
          <t>SCRUM-66</t>
        </is>
      </c>
      <c r="H17" s="6" t="inlineStr">
        <is>
          <t>Redacción, revisión y PR: Aislar las vistas temporales del agente dentro de la transacción</t>
        </is>
      </c>
    </row>
    <row r="18">
      <c r="A18" s="19" t="n">
        <v>46315</v>
      </c>
      <c r="B18" s="20" t="n">
        <v>0.7083333333333334</v>
      </c>
      <c r="C18" s="20" t="n">
        <v>0.75</v>
      </c>
      <c r="D18" s="6" t="n">
        <v>0</v>
      </c>
      <c r="E18" s="6">
        <f>ROUND(MOD(C18-B18,1)*1440,0)-D18</f>
        <v/>
      </c>
      <c r="F18" s="6" t="inlineStr">
        <is>
          <t>Planificación</t>
        </is>
      </c>
      <c r="G18" s="6" t="inlineStr">
        <is>
          <t>SCRUM-89</t>
        </is>
      </c>
      <c r="H18" s="6" t="inlineStr">
        <is>
          <t>Alcance, criterios de aceptación y plan de trabajo de P-1</t>
        </is>
      </c>
    </row>
    <row r="19">
      <c r="A19" s="19" t="n">
        <v>46315</v>
      </c>
      <c r="B19" s="20" t="n">
        <v>0.7708333333333334</v>
      </c>
      <c r="C19" s="20" t="n">
        <v>0.8958333333333334</v>
      </c>
      <c r="D19" s="6" t="n">
        <v>0</v>
      </c>
      <c r="E19" s="6">
        <f>ROUND(MOD(C19-B19,1)*1440,0)-D19</f>
        <v/>
      </c>
      <c r="F19" s="6" t="inlineStr">
        <is>
          <t>Código</t>
        </is>
      </c>
      <c r="G19" s="6" t="inlineStr">
        <is>
          <t>SCRUM-89</t>
        </is>
      </c>
      <c r="H19" s="6" t="inlineStr">
        <is>
          <t>Implementación: Exportación de datos y borrado de cuenta</t>
        </is>
      </c>
    </row>
    <row r="20">
      <c r="A20" s="19" t="n">
        <v>46316</v>
      </c>
      <c r="B20" s="20" t="n">
        <v>0.7083333333333334</v>
      </c>
      <c r="C20" s="20" t="n">
        <v>0.84375</v>
      </c>
      <c r="D20" s="6" t="n">
        <v>15</v>
      </c>
      <c r="E20" s="6">
        <f>ROUND(MOD(C20-B20,1)*1440,0)-D20</f>
        <v/>
      </c>
      <c r="F20" s="6" t="inlineStr">
        <is>
          <t>Código</t>
        </is>
      </c>
      <c r="G20" s="6" t="inlineStr">
        <is>
          <t>SCRUM-89</t>
        </is>
      </c>
      <c r="H20" s="6" t="inlineStr">
        <is>
          <t>Implementación: Exportación de datos y borrado de cuenta (parte 2)</t>
        </is>
      </c>
    </row>
    <row r="21">
      <c r="A21" s="19" t="n">
        <v>46316</v>
      </c>
      <c r="B21" s="20" t="n">
        <v>0.8645833333333334</v>
      </c>
      <c r="C21" s="20" t="n">
        <v>0.9895833333333334</v>
      </c>
      <c r="D21" s="6" t="n">
        <v>0</v>
      </c>
      <c r="E21" s="6">
        <f>ROUND(MOD(C21-B21,1)*1440,0)-D21</f>
        <v/>
      </c>
      <c r="F21" s="6" t="inlineStr">
        <is>
          <t>Código</t>
        </is>
      </c>
      <c r="G21" s="6" t="inlineStr">
        <is>
          <t>SCRUM-89</t>
        </is>
      </c>
      <c r="H21" s="6" t="inlineStr">
        <is>
          <t>Implementación: Exportación de datos y borrado de cuenta (parte 3)</t>
        </is>
      </c>
    </row>
    <row r="22">
      <c r="A22" s="19" t="n">
        <v>46317</v>
      </c>
      <c r="B22" s="20" t="n">
        <v>0.7083333333333334</v>
      </c>
      <c r="C22" s="20" t="n">
        <v>0.8125</v>
      </c>
      <c r="D22" s="6" t="n">
        <v>0</v>
      </c>
      <c r="E22" s="6">
        <f>ROUND(MOD(C22-B22,1)*1440,0)-D22</f>
        <v/>
      </c>
      <c r="F22" s="6" t="inlineStr">
        <is>
          <t>Pruebas</t>
        </is>
      </c>
      <c r="G22" s="6" t="inlineStr">
        <is>
          <t>SCRUM-89</t>
        </is>
      </c>
      <c r="H22" s="6" t="inlineStr">
        <is>
          <t>Pruebas y verificación: Exportación de datos y borrado de cuenta</t>
        </is>
      </c>
    </row>
    <row r="23">
      <c r="A23" s="19" t="n">
        <v>46317</v>
      </c>
      <c r="B23" s="20" t="n">
        <v>0.8333333333333334</v>
      </c>
      <c r="C23" s="20" t="n">
        <v>0.8541666666666666</v>
      </c>
      <c r="D23" s="6" t="n">
        <v>0</v>
      </c>
      <c r="E23" s="6">
        <f>ROUND(MOD(C23-B23,1)*1440,0)-D23</f>
        <v/>
      </c>
      <c r="F23" s="6" t="inlineStr">
        <is>
          <t>Documentación</t>
        </is>
      </c>
      <c r="G23" s="6" t="inlineStr">
        <is>
          <t>SCRUM-89</t>
        </is>
      </c>
      <c r="H23" s="6" t="inlineStr">
        <is>
          <t>Redacción, revisión y PR: Exportación de datos y borrado de cuenta</t>
        </is>
      </c>
    </row>
    <row r="24">
      <c r="A24" s="19" t="n">
        <v>46318</v>
      </c>
      <c r="B24" s="20" t="n">
        <v>0.7083333333333334</v>
      </c>
      <c r="C24" s="20" t="n">
        <v>0.75</v>
      </c>
      <c r="D24" s="6" t="n">
        <v>0</v>
      </c>
      <c r="E24" s="6">
        <f>ROUND(MOD(C24-B24,1)*1440,0)-D24</f>
        <v/>
      </c>
      <c r="F24" s="6" t="inlineStr">
        <is>
          <t>Planificación</t>
        </is>
      </c>
      <c r="G24" s="6" t="inlineStr">
        <is>
          <t>SCRUM-98</t>
        </is>
      </c>
      <c r="H24" s="6" t="inlineStr">
        <is>
          <t>Alcance, criterios de aceptación y plan de trabajo de UX-N</t>
        </is>
      </c>
    </row>
    <row r="25">
      <c r="A25" s="19" t="n">
        <v>46318</v>
      </c>
      <c r="B25" s="20" t="n">
        <v>0.7708333333333334</v>
      </c>
      <c r="C25" s="20" t="n">
        <v>0.9166666666666666</v>
      </c>
      <c r="D25" s="6" t="n">
        <v>0</v>
      </c>
      <c r="E25" s="6">
        <f>ROUND(MOD(C25-B25,1)*1440,0)-D25</f>
        <v/>
      </c>
      <c r="F25" s="6" t="inlineStr">
        <is>
          <t>Documentación</t>
        </is>
      </c>
      <c r="G25" s="6" t="inlineStr">
        <is>
          <t>SCRUM-98</t>
        </is>
      </c>
      <c r="H25" s="6" t="inlineStr">
        <is>
          <t>Redacción, revisión y PR: Resultados de las pruebas de UX y reflexión sobre el uso del neurolab</t>
        </is>
      </c>
    </row>
    <row r="26">
      <c r="A26" s="19" t="n">
        <v>46319</v>
      </c>
      <c r="B26" s="20" t="n">
        <v>0.375</v>
      </c>
      <c r="C26" s="20" t="n">
        <v>0.4166666666666667</v>
      </c>
      <c r="D26" s="6" t="n">
        <v>0</v>
      </c>
      <c r="E26" s="6">
        <f>ROUND(MOD(C26-B26,1)*1440,0)-D26</f>
        <v/>
      </c>
      <c r="F26" s="6" t="inlineStr">
        <is>
          <t>Planificación</t>
        </is>
      </c>
      <c r="G26" s="6" t="inlineStr">
        <is>
          <t>SCRUM-90</t>
        </is>
      </c>
      <c r="H26" s="6" t="inlineStr">
        <is>
          <t>Alcance, criterios de aceptación y plan de trabajo de P-2</t>
        </is>
      </c>
    </row>
    <row r="27">
      <c r="A27" s="19" t="n">
        <v>46319</v>
      </c>
      <c r="B27" s="20" t="n">
        <v>0.4375</v>
      </c>
      <c r="C27" s="20" t="n">
        <v>0.5833333333333334</v>
      </c>
      <c r="D27" s="6" t="n">
        <v>0</v>
      </c>
      <c r="E27" s="6">
        <f>ROUND(MOD(C27-B27,1)*1440,0)-D27</f>
        <v/>
      </c>
      <c r="F27" s="6" t="inlineStr">
        <is>
          <t>Código</t>
        </is>
      </c>
      <c r="G27" s="6" t="inlineStr">
        <is>
          <t>SCRUM-90</t>
        </is>
      </c>
      <c r="H27" s="6" t="inlineStr">
        <is>
          <t>Implementación: Política de respaldos con restauración probada</t>
        </is>
      </c>
    </row>
    <row r="28">
      <c r="A28" s="19" t="n">
        <v>46319</v>
      </c>
      <c r="B28" s="20" t="n">
        <v>0.6041666666666666</v>
      </c>
      <c r="C28" s="20" t="n">
        <v>0.75</v>
      </c>
      <c r="D28" s="6" t="n">
        <v>0</v>
      </c>
      <c r="E28" s="6">
        <f>ROUND(MOD(C28-B28,1)*1440,0)-D28</f>
        <v/>
      </c>
      <c r="F28" s="6" t="inlineStr">
        <is>
          <t>Documentación</t>
        </is>
      </c>
      <c r="G28" s="6" t="inlineStr">
        <is>
          <t>SCRUM-98</t>
        </is>
      </c>
      <c r="H28" s="6" t="inlineStr">
        <is>
          <t>Redacción, revisión y PR: Resultados de las pruebas de UX y reflexión sobre el uso del neurolab (parte 2)</t>
        </is>
      </c>
    </row>
    <row r="29">
      <c r="A29" s="19" t="n">
        <v>46320</v>
      </c>
      <c r="B29" s="20" t="n">
        <v>0.375</v>
      </c>
      <c r="C29" s="20" t="n">
        <v>0.5104166666666666</v>
      </c>
      <c r="D29" s="6" t="n">
        <v>15</v>
      </c>
      <c r="E29" s="6">
        <f>ROUND(MOD(C29-B29,1)*1440,0)-D29</f>
        <v/>
      </c>
      <c r="F29" s="6" t="inlineStr">
        <is>
          <t>Pruebas</t>
        </is>
      </c>
      <c r="G29" s="6" t="inlineStr">
        <is>
          <t>SCRUM-90</t>
        </is>
      </c>
      <c r="H29" s="6" t="inlineStr">
        <is>
          <t>Pruebas y verificación: Política de respaldos con restauración probada</t>
        </is>
      </c>
    </row>
    <row r="30">
      <c r="A30" s="19" t="n">
        <v>46321</v>
      </c>
      <c r="B30" s="20" t="n">
        <v>0.7083333333333334</v>
      </c>
      <c r="C30" s="20" t="n">
        <v>0.7291666666666666</v>
      </c>
      <c r="D30" s="6" t="n">
        <v>0</v>
      </c>
      <c r="E30" s="6">
        <f>ROUND(MOD(C30-B30,1)*1440,0)-D30</f>
        <v/>
      </c>
      <c r="F30" s="6" t="inlineStr">
        <is>
          <t>Documentación</t>
        </is>
      </c>
      <c r="G30" s="6" t="inlineStr">
        <is>
          <t>SCRUM-90</t>
        </is>
      </c>
      <c r="H30" s="6" t="inlineStr">
        <is>
          <t>Redacción, revisión y PR: Política de respaldos con restauración probada</t>
        </is>
      </c>
    </row>
    <row r="31">
      <c r="A31" s="10" t="inlineStr">
        <is>
          <t>Total</t>
        </is>
      </c>
      <c r="B31" s="10" t="n"/>
      <c r="C31" s="10" t="n"/>
      <c r="D31" s="10">
        <f>SUM(D9:D30)</f>
        <v/>
      </c>
      <c r="E31" s="10">
        <f>SUM(E9:E30)</f>
        <v/>
      </c>
      <c r="F31" s="10" t="n"/>
      <c r="G31" s="10" t="n"/>
      <c r="H31" s="10" t="n"/>
    </row>
    <row r="32">
      <c r="A32" s="10" t="inlineStr">
        <is>
          <t>Total en horas</t>
        </is>
      </c>
      <c r="B32" s="10" t="n"/>
      <c r="C32" s="10" t="n"/>
      <c r="D32" s="10" t="n"/>
      <c r="E32" s="16">
        <f>E31/60</f>
        <v/>
      </c>
      <c r="F32" s="10" t="n"/>
      <c r="G32" s="10" t="n"/>
      <c r="H32" s="10" t="n"/>
    </row>
    <row r="34">
      <c r="A34" t="inlineStr">
        <is>
          <t>Nota: registro reconstruido a partir de la estimación original de cada tarea en Jira y de las fechas de los commits del sprint. Cada integrante debe revisarlo y ajustarlo a su tiempo real.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12" customWidth="1" min="1" max="1"/>
    <col width="8" customWidth="1" min="2" max="2"/>
    <col width="8" customWidth="1" min="3" max="3"/>
    <col width="13" customWidth="1" min="4" max="4"/>
    <col width="13" customWidth="1" min="5" max="5"/>
    <col width="16" customWidth="1" min="6" max="6"/>
    <col width="12" customWidth="1" min="7" max="7"/>
    <col width="70" customWidth="1" min="8" max="8"/>
  </cols>
  <sheetData>
    <row r="1">
      <c r="A1" s="15" t="inlineStr">
        <is>
          <t>Registro de tiempo (LOGT) · Sprint 10</t>
        </is>
      </c>
    </row>
    <row r="3">
      <c r="A3" s="2" t="inlineStr">
        <is>
          <t>Integrante</t>
        </is>
      </c>
      <c r="B3" t="inlineStr">
        <is>
          <t>Ivana Cristina Figueroa Diemek</t>
        </is>
      </c>
    </row>
    <row r="4">
      <c r="A4" s="2" t="inlineStr">
        <is>
          <t>Carné</t>
        </is>
      </c>
    </row>
    <row r="5">
      <c r="A5" s="2" t="inlineStr">
        <is>
          <t>Sprint</t>
        </is>
      </c>
      <c r="B5" t="inlineStr">
        <is>
          <t>Sprint 10 (Jira: SCRUM Sprint 5), 14/10/2026 – 27/10/2026</t>
        </is>
      </c>
    </row>
    <row r="6">
      <c r="A6" s="2" t="inlineStr">
        <is>
          <t>Proyecto</t>
        </is>
      </c>
      <c r="B6" t="inlineStr">
        <is>
          <t>Kontrol</t>
        </is>
      </c>
    </row>
    <row r="8">
      <c r="A8" s="5" t="inlineStr">
        <is>
          <t>Fecha</t>
        </is>
      </c>
      <c r="B8" s="5" t="inlineStr">
        <is>
          <t>Inicio</t>
        </is>
      </c>
      <c r="C8" s="5" t="inlineStr">
        <is>
          <t>Fin</t>
        </is>
      </c>
      <c r="D8" s="5" t="inlineStr">
        <is>
          <t>Interrupción (min)</t>
        </is>
      </c>
      <c r="E8" s="5" t="inlineStr">
        <is>
          <t>Δ Tiempo (min)</t>
        </is>
      </c>
      <c r="F8" s="5" t="inlineStr">
        <is>
          <t>Fase / actividad</t>
        </is>
      </c>
      <c r="G8" s="5" t="inlineStr">
        <is>
          <t>Tarea Jira</t>
        </is>
      </c>
      <c r="H8" s="5" t="inlineStr">
        <is>
          <t>Comentarios</t>
        </is>
      </c>
    </row>
    <row r="9">
      <c r="A9" s="19" t="n">
        <v>46312</v>
      </c>
      <c r="B9" s="20" t="n">
        <v>0.375</v>
      </c>
      <c r="C9" s="20" t="n">
        <v>0.4166666666666667</v>
      </c>
      <c r="D9" s="6" t="n">
        <v>0</v>
      </c>
      <c r="E9" s="6">
        <f>ROUND(MOD(C9-B9,1)*1440,0)-D9</f>
        <v/>
      </c>
      <c r="F9" s="6" t="inlineStr">
        <is>
          <t>Planificación</t>
        </is>
      </c>
      <c r="G9" s="6" t="inlineStr">
        <is>
          <t>SCRUM-79</t>
        </is>
      </c>
      <c r="H9" s="6" t="inlineStr">
        <is>
          <t>Alcance, criterios de aceptación y plan de trabajo de HU-32b</t>
        </is>
      </c>
    </row>
    <row r="10">
      <c r="A10" s="19" t="n">
        <v>46312</v>
      </c>
      <c r="B10" s="20" t="n">
        <v>0.4375</v>
      </c>
      <c r="C10" s="20" t="n">
        <v>0.5625</v>
      </c>
      <c r="D10" s="6" t="n">
        <v>0</v>
      </c>
      <c r="E10" s="6">
        <f>ROUND(MOD(C10-B10,1)*1440,0)-D10</f>
        <v/>
      </c>
      <c r="F10" s="6" t="inlineStr">
        <is>
          <t>Código</t>
        </is>
      </c>
      <c r="G10" s="6" t="inlineStr">
        <is>
          <t>SCRUM-79</t>
        </is>
      </c>
      <c r="H10" s="6" t="inlineStr">
        <is>
          <t>Implementación: Cierre de la Fase 2 de la identidad visual v2</t>
        </is>
      </c>
    </row>
    <row r="11">
      <c r="A11" s="19" t="n">
        <v>46313</v>
      </c>
      <c r="B11" s="20" t="n">
        <v>0.375</v>
      </c>
      <c r="C11" s="20" t="n">
        <v>0.5104166666666666</v>
      </c>
      <c r="D11" s="6" t="n">
        <v>15</v>
      </c>
      <c r="E11" s="6">
        <f>ROUND(MOD(C11-B11,1)*1440,0)-D11</f>
        <v/>
      </c>
      <c r="F11" s="6" t="inlineStr">
        <is>
          <t>Código</t>
        </is>
      </c>
      <c r="G11" s="6" t="inlineStr">
        <is>
          <t>SCRUM-79</t>
        </is>
      </c>
      <c r="H11" s="6" t="inlineStr">
        <is>
          <t>Implementación: Cierre de la Fase 2 de la identidad visual v2 (parte 2)</t>
        </is>
      </c>
    </row>
    <row r="12">
      <c r="A12" s="19" t="n">
        <v>46313</v>
      </c>
      <c r="B12" s="20" t="n">
        <v>0.53125</v>
      </c>
      <c r="C12" s="20" t="n">
        <v>0.65625</v>
      </c>
      <c r="D12" s="6" t="n">
        <v>0</v>
      </c>
      <c r="E12" s="6">
        <f>ROUND(MOD(C12-B12,1)*1440,0)-D12</f>
        <v/>
      </c>
      <c r="F12" s="6" t="inlineStr">
        <is>
          <t>Código</t>
        </is>
      </c>
      <c r="G12" s="6" t="inlineStr">
        <is>
          <t>SCRUM-79</t>
        </is>
      </c>
      <c r="H12" s="6" t="inlineStr">
        <is>
          <t>Implementación: Cierre de la Fase 2 de la identidad visual v2 (parte 3)</t>
        </is>
      </c>
    </row>
    <row r="13">
      <c r="A13" s="19" t="n">
        <v>46314</v>
      </c>
      <c r="B13" s="20" t="n">
        <v>0.7083333333333334</v>
      </c>
      <c r="C13" s="20" t="n">
        <v>0.8125</v>
      </c>
      <c r="D13" s="6" t="n">
        <v>0</v>
      </c>
      <c r="E13" s="6">
        <f>ROUND(MOD(C13-B13,1)*1440,0)-D13</f>
        <v/>
      </c>
      <c r="F13" s="6" t="inlineStr">
        <is>
          <t>Pruebas</t>
        </is>
      </c>
      <c r="G13" s="6" t="inlineStr">
        <is>
          <t>SCRUM-79</t>
        </is>
      </c>
      <c r="H13" s="6" t="inlineStr">
        <is>
          <t>Pruebas y verificación: Cierre de la Fase 2 de la identidad visual v2</t>
        </is>
      </c>
    </row>
    <row r="14">
      <c r="A14" s="19" t="n">
        <v>46314</v>
      </c>
      <c r="B14" s="20" t="n">
        <v>0.8333333333333334</v>
      </c>
      <c r="C14" s="20" t="n">
        <v>0.8541666666666666</v>
      </c>
      <c r="D14" s="6" t="n">
        <v>0</v>
      </c>
      <c r="E14" s="6">
        <f>ROUND(MOD(C14-B14,1)*1440,0)-D14</f>
        <v/>
      </c>
      <c r="F14" s="6" t="inlineStr">
        <is>
          <t>Documentación</t>
        </is>
      </c>
      <c r="G14" s="6" t="inlineStr">
        <is>
          <t>SCRUM-79</t>
        </is>
      </c>
      <c r="H14" s="6" t="inlineStr">
        <is>
          <t>Redacción, revisión y PR: Cierre de la Fase 2 de la identidad visual v2</t>
        </is>
      </c>
    </row>
    <row r="15">
      <c r="A15" s="19" t="n">
        <v>46316</v>
      </c>
      <c r="B15" s="20" t="n">
        <v>0.7083333333333334</v>
      </c>
      <c r="C15" s="20" t="n">
        <v>0.8125</v>
      </c>
      <c r="D15" s="6" t="n">
        <v>0</v>
      </c>
      <c r="E15" s="6">
        <f>ROUND(MOD(C15-B15,1)*1440,0)-D15</f>
        <v/>
      </c>
      <c r="F15" s="6" t="inlineStr">
        <is>
          <t>Documentación</t>
        </is>
      </c>
      <c r="G15" s="6" t="inlineStr">
        <is>
          <t>SCRUM-91</t>
        </is>
      </c>
      <c r="H15" s="6" t="inlineStr">
        <is>
          <t>Redacción, revisión y PR: Procedimiento de respuesta a incidentes y notificación de brechas</t>
        </is>
      </c>
    </row>
    <row r="16">
      <c r="A16" s="19" t="n">
        <v>46316</v>
      </c>
      <c r="B16" s="20" t="n">
        <v>0.8333333333333334</v>
      </c>
      <c r="C16" s="20" t="n">
        <v>0.9583333333333334</v>
      </c>
      <c r="D16" s="6" t="n">
        <v>0</v>
      </c>
      <c r="E16" s="6">
        <f>ROUND(MOD(C16-B16,1)*1440,0)-D16</f>
        <v/>
      </c>
      <c r="F16" s="6" t="inlineStr">
        <is>
          <t>Código</t>
        </is>
      </c>
      <c r="G16" s="6" t="inlineStr">
        <is>
          <t>SCRUM-92</t>
        </is>
      </c>
      <c r="H16" s="6" t="inlineStr">
        <is>
          <t>Implementación: Carga diferida del logo 3D y los fondos animados, y separación de chunks</t>
        </is>
      </c>
    </row>
    <row r="17">
      <c r="A17" s="19" t="n">
        <v>46317</v>
      </c>
      <c r="B17" s="20" t="n">
        <v>0.7083333333333334</v>
      </c>
      <c r="C17" s="20" t="n">
        <v>0.8229166666666666</v>
      </c>
      <c r="D17" s="6" t="n">
        <v>15</v>
      </c>
      <c r="E17" s="6">
        <f>ROUND(MOD(C17-B17,1)*1440,0)-D17</f>
        <v/>
      </c>
      <c r="F17" s="6" t="inlineStr">
        <is>
          <t>Documentación</t>
        </is>
      </c>
      <c r="G17" s="6" t="inlineStr">
        <is>
          <t>SCRUM-91</t>
        </is>
      </c>
      <c r="H17" s="6" t="inlineStr">
        <is>
          <t>Redacción, revisión y PR: Procedimiento de respuesta a incidentes y notificación de brechas (parte 2)</t>
        </is>
      </c>
    </row>
    <row r="18">
      <c r="A18" s="19" t="n">
        <v>46317</v>
      </c>
      <c r="B18" s="20" t="n">
        <v>0.84375</v>
      </c>
      <c r="C18" s="20" t="n">
        <v>0.8854166666666666</v>
      </c>
      <c r="D18" s="6" t="n">
        <v>0</v>
      </c>
      <c r="E18" s="6">
        <f>ROUND(MOD(C18-B18,1)*1440,0)-D18</f>
        <v/>
      </c>
      <c r="F18" s="6" t="inlineStr">
        <is>
          <t>Planificación</t>
        </is>
      </c>
      <c r="G18" s="6" t="inlineStr">
        <is>
          <t>SCRUM-92</t>
        </is>
      </c>
      <c r="H18" s="6" t="inlineStr">
        <is>
          <t>Alcance, criterios de aceptación y plan de trabajo de DT-17</t>
        </is>
      </c>
    </row>
    <row r="19">
      <c r="A19" s="19" t="n">
        <v>46317</v>
      </c>
      <c r="B19" s="20" t="n">
        <v>0.90625</v>
      </c>
      <c r="C19" s="20" t="n">
        <v>0.01041666666666667</v>
      </c>
      <c r="D19" s="6" t="n">
        <v>0</v>
      </c>
      <c r="E19" s="6">
        <f>ROUND(MOD(C19-B19,1)*1440,0)-D19</f>
        <v/>
      </c>
      <c r="F19" s="6" t="inlineStr">
        <is>
          <t>Pruebas</t>
        </is>
      </c>
      <c r="G19" s="6" t="inlineStr">
        <is>
          <t>SCRUM-92</t>
        </is>
      </c>
      <c r="H19" s="6" t="inlineStr">
        <is>
          <t>Pruebas y verificación: Carga diferida del logo 3D y los fondos animados, y separación de chunks</t>
        </is>
      </c>
    </row>
    <row r="20">
      <c r="A20" s="19" t="n">
        <v>46318</v>
      </c>
      <c r="B20" s="20" t="n">
        <v>0.7083333333333334</v>
      </c>
      <c r="C20" s="20" t="n">
        <v>0.84375</v>
      </c>
      <c r="D20" s="6" t="n">
        <v>15</v>
      </c>
      <c r="E20" s="6">
        <f>ROUND(MOD(C20-B20,1)*1440,0)-D20</f>
        <v/>
      </c>
      <c r="F20" s="6" t="inlineStr">
        <is>
          <t>Código</t>
        </is>
      </c>
      <c r="G20" s="6" t="inlineStr">
        <is>
          <t>SCRUM-92</t>
        </is>
      </c>
      <c r="H20" s="6" t="inlineStr">
        <is>
          <t>Implementación: Carga diferida del logo 3D y los fondos animados, y separación de chunks (parte 2)</t>
        </is>
      </c>
    </row>
    <row r="21">
      <c r="A21" s="19" t="n">
        <v>46318</v>
      </c>
      <c r="B21" s="20" t="n">
        <v>0.8645833333333334</v>
      </c>
      <c r="C21" s="20" t="n">
        <v>0.9895833333333334</v>
      </c>
      <c r="D21" s="6" t="n">
        <v>0</v>
      </c>
      <c r="E21" s="6">
        <f>ROUND(MOD(C21-B21,1)*1440,0)-D21</f>
        <v/>
      </c>
      <c r="F21" s="6" t="inlineStr">
        <is>
          <t>Código</t>
        </is>
      </c>
      <c r="G21" s="6" t="inlineStr">
        <is>
          <t>SCRUM-92</t>
        </is>
      </c>
      <c r="H21" s="6" t="inlineStr">
        <is>
          <t>Implementación: Carga diferida del logo 3D y los fondos animados, y separación de chunks (parte 3)</t>
        </is>
      </c>
    </row>
    <row r="22">
      <c r="A22" s="19" t="n">
        <v>46319</v>
      </c>
      <c r="B22" s="20" t="n">
        <v>0.375</v>
      </c>
      <c r="C22" s="20" t="n">
        <v>0.3958333333333333</v>
      </c>
      <c r="D22" s="6" t="n">
        <v>0</v>
      </c>
      <c r="E22" s="6">
        <f>ROUND(MOD(C22-B22,1)*1440,0)-D22</f>
        <v/>
      </c>
      <c r="F22" s="6" t="inlineStr">
        <is>
          <t>Documentación</t>
        </is>
      </c>
      <c r="G22" s="6" t="inlineStr">
        <is>
          <t>SCRUM-92</t>
        </is>
      </c>
      <c r="H22" s="6" t="inlineStr">
        <is>
          <t>Redacción, revisión y PR: Carga diferida del logo 3D y los fondos animados, y separación de chunks</t>
        </is>
      </c>
    </row>
    <row r="23">
      <c r="A23" s="19" t="n">
        <v>46319</v>
      </c>
      <c r="B23" s="20" t="n">
        <v>0.4166666666666667</v>
      </c>
      <c r="C23" s="20" t="n">
        <v>0.4583333333333333</v>
      </c>
      <c r="D23" s="6" t="n">
        <v>0</v>
      </c>
      <c r="E23" s="6">
        <f>ROUND(MOD(C23-B23,1)*1440,0)-D23</f>
        <v/>
      </c>
      <c r="F23" s="6" t="inlineStr">
        <is>
          <t>Planificación</t>
        </is>
      </c>
      <c r="G23" s="6" t="inlineStr">
        <is>
          <t>SCRUM-93</t>
        </is>
      </c>
      <c r="H23" s="6" t="inlineStr">
        <is>
          <t>Alcance, criterios de aceptación y plan de trabajo de DT-09</t>
        </is>
      </c>
    </row>
    <row r="24">
      <c r="A24" s="19" t="n">
        <v>46319</v>
      </c>
      <c r="B24" s="20" t="n">
        <v>0.4791666666666667</v>
      </c>
      <c r="C24" s="20" t="n">
        <v>0.6041666666666666</v>
      </c>
      <c r="D24" s="6" t="n">
        <v>0</v>
      </c>
      <c r="E24" s="6">
        <f>ROUND(MOD(C24-B24,1)*1440,0)-D24</f>
        <v/>
      </c>
      <c r="F24" s="6" t="inlineStr">
        <is>
          <t>Código</t>
        </is>
      </c>
      <c r="G24" s="6" t="inlineStr">
        <is>
          <t>SCRUM-93</t>
        </is>
      </c>
      <c r="H24" s="6" t="inlineStr">
        <is>
          <t>Implementación: Tema claro, escala de z-index y retiro de alias legacy</t>
        </is>
      </c>
    </row>
    <row r="25">
      <c r="A25" s="19" t="n">
        <v>46319</v>
      </c>
      <c r="B25" s="20" t="n">
        <v>0.625</v>
      </c>
      <c r="C25" s="20" t="n">
        <v>0.75</v>
      </c>
      <c r="D25" s="6" t="n">
        <v>0</v>
      </c>
      <c r="E25" s="6">
        <f>ROUND(MOD(C25-B25,1)*1440,0)-D25</f>
        <v/>
      </c>
      <c r="F25" s="6" t="inlineStr">
        <is>
          <t>Código</t>
        </is>
      </c>
      <c r="G25" s="6" t="inlineStr">
        <is>
          <t>SCRUM-93</t>
        </is>
      </c>
      <c r="H25" s="6" t="inlineStr">
        <is>
          <t>Implementación: Tema claro, escala de z-index y retiro de alias legacy (parte 2)</t>
        </is>
      </c>
    </row>
    <row r="26">
      <c r="A26" s="19" t="n">
        <v>46320</v>
      </c>
      <c r="B26" s="20" t="n">
        <v>0.375</v>
      </c>
      <c r="C26" s="20" t="n">
        <v>0.4895833333333333</v>
      </c>
      <c r="D26" s="6" t="n">
        <v>15</v>
      </c>
      <c r="E26" s="6">
        <f>ROUND(MOD(C26-B26,1)*1440,0)-D26</f>
        <v/>
      </c>
      <c r="F26" s="6" t="inlineStr">
        <is>
          <t>Pruebas</t>
        </is>
      </c>
      <c r="G26" s="6" t="inlineStr">
        <is>
          <t>SCRUM-93</t>
        </is>
      </c>
      <c r="H26" s="6" t="inlineStr">
        <is>
          <t>Pruebas y verificación: Tema claro, escala de z-index y retiro de alias legacy</t>
        </is>
      </c>
    </row>
    <row r="27">
      <c r="A27" s="19" t="n">
        <v>46320</v>
      </c>
      <c r="B27" s="20" t="n">
        <v>0.5104166666666666</v>
      </c>
      <c r="C27" s="20" t="n">
        <v>0.53125</v>
      </c>
      <c r="D27" s="6" t="n">
        <v>0</v>
      </c>
      <c r="E27" s="6">
        <f>ROUND(MOD(C27-B27,1)*1440,0)-D27</f>
        <v/>
      </c>
      <c r="F27" s="6" t="inlineStr">
        <is>
          <t>Documentación</t>
        </is>
      </c>
      <c r="G27" s="6" t="inlineStr">
        <is>
          <t>SCRUM-93</t>
        </is>
      </c>
      <c r="H27" s="6" t="inlineStr">
        <is>
          <t>Redacción, revisión y PR: Tema claro, escala de z-index y retiro de alias legacy</t>
        </is>
      </c>
    </row>
    <row r="28">
      <c r="A28" s="19" t="n">
        <v>46321</v>
      </c>
      <c r="B28" s="20" t="n">
        <v>0.7083333333333334</v>
      </c>
      <c r="C28" s="20" t="n">
        <v>0.8125</v>
      </c>
      <c r="D28" s="6" t="n">
        <v>0</v>
      </c>
      <c r="E28" s="6">
        <f>ROUND(MOD(C28-B28,1)*1440,0)-D28</f>
        <v/>
      </c>
      <c r="F28" s="6" t="inlineStr">
        <is>
          <t>Documentación</t>
        </is>
      </c>
      <c r="G28" s="6" t="inlineStr">
        <is>
          <t>SCRUM-100</t>
        </is>
      </c>
      <c r="H28" s="6" t="inlineStr">
        <is>
          <t>Redacción, revisión y PR: Reporte consolidado de pruebas de regresión de la refactorización</t>
        </is>
      </c>
    </row>
    <row r="29">
      <c r="A29" s="19" t="n">
        <v>46321</v>
      </c>
      <c r="B29" s="20" t="n">
        <v>0.8333333333333334</v>
      </c>
      <c r="C29" s="20" t="n">
        <v>0.9479166666666666</v>
      </c>
      <c r="D29" s="6" t="n">
        <v>15</v>
      </c>
      <c r="E29" s="6">
        <f>ROUND(MOD(C29-B29,1)*1440,0)-D29</f>
        <v/>
      </c>
      <c r="F29" s="6" t="inlineStr">
        <is>
          <t>Documentación</t>
        </is>
      </c>
      <c r="G29" s="6" t="inlineStr">
        <is>
          <t>SCRUM-100</t>
        </is>
      </c>
      <c r="H29" s="6" t="inlineStr">
        <is>
          <t>Redacción, revisión y PR: Reporte consolidado de pruebas de regresión de la refactorización (parte 2)</t>
        </is>
      </c>
    </row>
    <row r="30">
      <c r="A30" s="10" t="inlineStr">
        <is>
          <t>Total</t>
        </is>
      </c>
      <c r="B30" s="10" t="n"/>
      <c r="C30" s="10" t="n"/>
      <c r="D30" s="10">
        <f>SUM(D9:D29)</f>
        <v/>
      </c>
      <c r="E30" s="10">
        <f>SUM(E9:E29)</f>
        <v/>
      </c>
      <c r="F30" s="10" t="n"/>
      <c r="G30" s="10" t="n"/>
      <c r="H30" s="10" t="n"/>
    </row>
    <row r="31">
      <c r="A31" s="10" t="inlineStr">
        <is>
          <t>Total en horas</t>
        </is>
      </c>
      <c r="B31" s="10" t="n"/>
      <c r="C31" s="10" t="n"/>
      <c r="D31" s="10" t="n"/>
      <c r="E31" s="16">
        <f>E30/60</f>
        <v/>
      </c>
      <c r="F31" s="10" t="n"/>
      <c r="G31" s="10" t="n"/>
      <c r="H31" s="10" t="n"/>
    </row>
    <row r="33">
      <c r="A33" t="inlineStr">
        <is>
          <t>Nota: registro reconstruido a partir de la estimación original de cada tarea en Jira y de las fechas de los commits del sprint. Cada integrante debe revisarlo y ajustarlo a su tiempo 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2026-10-27T19:46:20Z</dcterms:created>
  <dcterms:modified xmlns:dcterms="http://purl.org/dc/terms/" xmlns:xsi="http://www.w3.org/2001/XMLSchema-instance" xsi:type="dcterms:W3CDTF">2026-10-27T19:46:20Z</dcterms:modified>
</cp:coreProperties>
</file>